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uqfmeaki/Dropbox/2026_GurindjiBirds/Birds/"/>
    </mc:Choice>
  </mc:AlternateContent>
  <xr:revisionPtr revIDLastSave="0" documentId="13_ncr:1_{DF1BEE11-9BDE-164D-B3F6-15A432A2C959}" xr6:coauthVersionLast="47" xr6:coauthVersionMax="47" xr10:uidLastSave="{00000000-0000-0000-0000-000000000000}"/>
  <bookViews>
    <workbookView xWindow="180" yWindow="860" windowWidth="30240" windowHeight="17060" activeTab="2" xr2:uid="{00000000-000D-0000-FFFF-FFFF00000000}"/>
  </bookViews>
  <sheets>
    <sheet name="RootDataset" sheetId="1" r:id="rId1"/>
    <sheet name="@context" sheetId="2" r:id="rId2"/>
    <sheet name="Entries" sheetId="3" r:id="rId3"/>
    <sheet name="Files" sheetId="4" r:id="rId4"/>
    <sheet name="People" sheetId="5" r:id="rId5"/>
    <sheet name="CustomFields" sheetId="6" r:id="rId6"/>
    <sheet name="AboutPag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3" l="1"/>
  <c r="A20" i="3"/>
  <c r="A19" i="3"/>
  <c r="A18" i="3"/>
  <c r="A17" i="3"/>
  <c r="A16" i="3"/>
  <c r="A15" i="3"/>
  <c r="A14" i="3"/>
  <c r="A13" i="3"/>
  <c r="A12" i="3"/>
  <c r="A11" i="3"/>
  <c r="A10" i="3"/>
  <c r="A9" i="3"/>
  <c r="A8" i="3"/>
  <c r="A7" i="3"/>
  <c r="A6" i="3"/>
  <c r="A5" i="3"/>
  <c r="A4" i="3"/>
  <c r="A3" i="3"/>
  <c r="A2" i="3"/>
</calcChain>
</file>

<file path=xl/sharedStrings.xml><?xml version="1.0" encoding="utf-8"?>
<sst xmlns="http://schemas.openxmlformats.org/spreadsheetml/2006/main" count="611" uniqueCount="272">
  <si>
    <t>name</t>
  </si>
  <si>
    <t>value</t>
  </si>
  <si>
    <t>@id</t>
  </si>
  <si>
    <t>./</t>
  </si>
  <si>
    <t>@type</t>
  </si>
  <si>
    <t>[Dataset,RepositoryCollection]</t>
  </si>
  <si>
    <t>description</t>
  </si>
  <si>
    <t>isRef_author</t>
  </si>
  <si>
    <t>isRef_publisher</t>
  </si>
  <si>
    <t>ldac</t>
  </si>
  <si>
    <t>https://w3id.org/ldac/terms#</t>
  </si>
  <si>
    <t>custom</t>
  </si>
  <si>
    <t>arcp://name,custom/terms#</t>
  </si>
  <si>
    <t>isRef_pcdm:memberOf</t>
  </si>
  <si>
    <t>isRef_speaker</t>
  </si>
  <si>
    <t>datePublished</t>
  </si>
  <si>
    <t>isRef_license</t>
  </si>
  <si>
    <t>custom:translation</t>
  </si>
  <si>
    <t>custom:sentence</t>
  </si>
  <si>
    <t>custom:sentenceTranslation</t>
  </si>
  <si>
    <t>custom:scientificName</t>
  </si>
  <si>
    <t>isRef_custom:image</t>
  </si>
  <si>
    <t>isRef_custom:callAudio</t>
  </si>
  <si>
    <t>isRef_custom:nameAudio</t>
  </si>
  <si>
    <t>isRef_custom:sentenceAudio</t>
  </si>
  <si>
    <t>RepositoryObject</t>
  </si>
  <si>
    <t>2016-11-08 01:36:17</t>
  </si>
  <si>
    <t>https://creativecommons.org/licenses/by/4.0/</t>
  </si>
  <si>
    <t>Milvus migrans</t>
  </si>
  <si>
    <t>files/audio/calls/27_Black_Kite_(adult_-_trill-whistle)).mp3</t>
  </si>
  <si>
    <t>isRef_isPartOf</t>
  </si>
  <si>
    <t>File</t>
  </si>
  <si>
    <t>arcp://name,custom/terms#translation</t>
  </si>
  <si>
    <t>rdf:Property</t>
  </si>
  <si>
    <t>translation</t>
  </si>
  <si>
    <t>the translation of the entry</t>
  </si>
  <si>
    <t>arcp://name,custom/terms#sentence</t>
  </si>
  <si>
    <t>sentence</t>
  </si>
  <si>
    <t>a story about the entry</t>
  </si>
  <si>
    <t>arcp://name,custom/terms#callAudio</t>
  </si>
  <si>
    <t>sentenceTranslation</t>
  </si>
  <si>
    <t>the translation of this entry's story</t>
  </si>
  <si>
    <t>arcp://name,custom/terms#image</t>
  </si>
  <si>
    <t>image</t>
  </si>
  <si>
    <t>the bird image</t>
  </si>
  <si>
    <t>callAudio</t>
  </si>
  <si>
    <t>the call audio file associated with this entry</t>
  </si>
  <si>
    <t>arcp://name,custom/terms#scientificName</t>
  </si>
  <si>
    <t>scientificName</t>
  </si>
  <si>
    <t>the scientificName for this entry</t>
  </si>
  <si>
    <t>arcp://name,custom/terms#nameAudio</t>
  </si>
  <si>
    <t>nameAudio</t>
  </si>
  <si>
    <t>the name audio file associated with this entry</t>
  </si>
  <si>
    <t>arcp://name,custom/terms#sentenceAudio</t>
  </si>
  <si>
    <t>sentenceAudio</t>
  </si>
  <si>
    <t>the sentence audio file associated with this entry</t>
  </si>
  <si>
    <t>encodingFormat</t>
  </si>
  <si>
    <t>isRef_about</t>
  </si>
  <si>
    <t>about/about.md</t>
  </si>
  <si>
    <t>[File,AboutPage]</t>
  </si>
  <si>
    <t>text/markdown</t>
  </si>
  <si>
    <t>wintuk</t>
  </si>
  <si>
    <t>Bush Stone Curlew</t>
  </si>
  <si>
    <t>Burhinus grallarius</t>
  </si>
  <si>
    <t>yiparrartu</t>
  </si>
  <si>
    <t>Emu</t>
  </si>
  <si>
    <t>Dromaius novaehollandiae</t>
  </si>
  <si>
    <t>jamut</t>
  </si>
  <si>
    <t>Australian Bustard or Bush Turkey</t>
  </si>
  <si>
    <t>Ardeotis australis</t>
  </si>
  <si>
    <t>jikirrij</t>
  </si>
  <si>
    <t>Willy Wagtail</t>
  </si>
  <si>
    <t>Rhipidura leucophrys</t>
  </si>
  <si>
    <t>jiwayurru</t>
  </si>
  <si>
    <t>Bowerbird or Stealing bird</t>
  </si>
  <si>
    <t>Manana ngu murlukun, needle-ma nyampa-ma everything warrwarrkuj jiwawurru-lu. Yuwanana ngu nyanuny-ja ngurra-ngka. Jiwayurru-ma nyila-ma jawurrapkaji ngulu tal panana.</t>
  </si>
  <si>
    <t>Chalmydera nuchalis</t>
  </si>
  <si>
    <t>karrkany</t>
  </si>
  <si>
    <t>Black Kite or Chickenhawk</t>
  </si>
  <si>
    <t>Zebra finch</t>
  </si>
  <si>
    <t>Poephila guttata</t>
  </si>
  <si>
    <t>pangarra</t>
  </si>
  <si>
    <t>Pangarra-ma marnana yakakyakakkarra. Maitbi ngumpit yanana ngulu wuyurrunkarra-nginyi. Nguyina na kurru-ma nyangana. Nyantu na tiwu yanana kamparra yakakyakakkarra. Lintarr na nguyina marnana. "Nyila nyila kurru nyangka-lu yakakyakakkarra pangarra. Maitbi ngulu yanana ngumpit, kuya, wuyurrunkarra-nginyi.</t>
  </si>
  <si>
    <t>Cacatua sanguinea</t>
  </si>
  <si>
    <t>Corella</t>
  </si>
  <si>
    <t>Nankeen Night Heron</t>
  </si>
  <si>
    <t>Kawulnga-ma marnana, "Kawu-kawu!" Lintarr na nguyina marnana nyamu wankaj ngumpit yanana.</t>
  </si>
  <si>
    <t>Nictocorax caledonicus</t>
  </si>
  <si>
    <t>kumurlawurta</t>
  </si>
  <si>
    <t>Magpie</t>
  </si>
  <si>
    <t>Gymnorhina tibicen</t>
  </si>
  <si>
    <t>tuwakin</t>
  </si>
  <si>
    <t>White-gaped honey eater</t>
  </si>
  <si>
    <t>Tuwakin-ma pulngayit-ta-ma marnana ngurla muying-ku. Muying nyamu-n nyangana kurnkawurluk.</t>
  </si>
  <si>
    <t>Lichenostomus unicolor</t>
  </si>
  <si>
    <t>kurtakurtaka</t>
  </si>
  <si>
    <t>Channel-billed cuckoo or Christmas bird</t>
  </si>
  <si>
    <t>Scythops novaehollandiae</t>
  </si>
  <si>
    <t>kurrarntal</t>
  </si>
  <si>
    <t>Brolga</t>
  </si>
  <si>
    <t>Grus rubicunda</t>
  </si>
  <si>
    <t>kulyjara</t>
  </si>
  <si>
    <t>Diamond Dove</t>
  </si>
  <si>
    <t>Pinka-ka nyila tamurung ngulu ngarnana jiti. Murluwu-ma-rla mangarri-ma jiti tamurung.</t>
  </si>
  <si>
    <t>Geopelia cuneata</t>
  </si>
  <si>
    <t>karrangkarrang</t>
  </si>
  <si>
    <t>Darter or Diver Duck</t>
  </si>
  <si>
    <t>Anhinga melanogaster</t>
  </si>
  <si>
    <t>tikirrija</t>
  </si>
  <si>
    <t>Red-backed kingfisher</t>
  </si>
  <si>
    <t>Ngu ngarnana yirrpan tamarra-nginyi.</t>
  </si>
  <si>
    <t>Todiramphus pyrrhopygia</t>
  </si>
  <si>
    <t>warli</t>
  </si>
  <si>
    <t>Spotted harrier</t>
  </si>
  <si>
    <t>Warli-ngku ngu ngarnana wari.</t>
  </si>
  <si>
    <t>Circus assimilis</t>
  </si>
  <si>
    <t>warlawurru</t>
  </si>
  <si>
    <t>Wedge-tailed Eagle</t>
  </si>
  <si>
    <t xml:space="preserve">Ngarin nyanuny - jamut, wirnangpurru. Murlungku-ma kankula ngurla paraj pungana jamut wirnangpurru kanyjupal-ma. Jiwawuwarra manana murlungku panana tampang. </t>
  </si>
  <si>
    <t>Aquila audax</t>
  </si>
  <si>
    <t>janparriman</t>
  </si>
  <si>
    <t>Black-faced cuckoo shrike</t>
  </si>
  <si>
    <t>Coracina novaehollandiae</t>
  </si>
  <si>
    <t>Nyawa-ma janparriman ngu ngarnana wanyarri yirna.</t>
  </si>
  <si>
    <t>Red-tailed black cockatoo</t>
  </si>
  <si>
    <t>Calyptorhynchus banksii</t>
  </si>
  <si>
    <t>files/images/Wintuk_TT.jpg</t>
  </si>
  <si>
    <t>files/images/Yiparrartu_IM1.jpg</t>
  </si>
  <si>
    <t>files/images/Jamut_BD.jpg</t>
  </si>
  <si>
    <t>files/images/Jikirrij_BM.jpg</t>
  </si>
  <si>
    <t>files/images/Jiwayurru_BG.jpg</t>
  </si>
  <si>
    <t>files/images/Karrkany_BG.jpg</t>
  </si>
  <si>
    <t>files/images/Niinii_BG.jpg</t>
  </si>
  <si>
    <t>files/images/Pangarra_IM1.jpg</t>
  </si>
  <si>
    <t>files/images/Kawulnga2IM2.jpg</t>
  </si>
  <si>
    <t>files/images/Kumurlawurta_BG.jpg</t>
  </si>
  <si>
    <t>files/images/Kurtakurtaka_SP.jpg</t>
  </si>
  <si>
    <t>files/images/Kurrarntal_IM1.jpg</t>
  </si>
  <si>
    <t>files/images/Kulyjara_TT.jpg</t>
  </si>
  <si>
    <t>files/images/Tikirrija_BG.jpg</t>
  </si>
  <si>
    <t>files/images/Warli_SP.jpg</t>
  </si>
  <si>
    <t>files/images/Warlawurru_BG.jpg</t>
  </si>
  <si>
    <t>files/images/Janparriman_IM1.jpg</t>
  </si>
  <si>
    <t>files/images/Walukpin_SP.jpg</t>
  </si>
  <si>
    <t>files/audio/sentences/Wintuk_VW.mp3</t>
  </si>
  <si>
    <t>files/audio/sentences/yiparrartu_vw.mp3</t>
  </si>
  <si>
    <t>files/audio/sentences/jamut_vw.mp3</t>
  </si>
  <si>
    <t>files/audio/sentences/jikirrij_vw.mp3</t>
  </si>
  <si>
    <t>files/audio/sentences/jiwawurru_vw.mp3</t>
  </si>
  <si>
    <t>files/audio/sentences/karrkany_vw.mp3</t>
  </si>
  <si>
    <t>files/audio/sentences/Niinii_VW.mp3</t>
  </si>
  <si>
    <t>files/audio/sentences/Pangarra_VW.mp3</t>
  </si>
  <si>
    <t>files/audio/sentences/Kumurlawurta_VW.mp3</t>
  </si>
  <si>
    <t>files/audio/sentences/tuwakin_vw.mp3</t>
  </si>
  <si>
    <t>files/audio/sentences/Kurtakurtaka_VW.mp3</t>
  </si>
  <si>
    <t>files/audio/sentences/Kurrarntal_VW.mp3</t>
  </si>
  <si>
    <t>files/audio/sentences/Kulyjara_VW.mp3</t>
  </si>
  <si>
    <t>files/audio/sentences/karrangkarrang_vd.mp3</t>
  </si>
  <si>
    <t>files/audio/sentences/tikirrija_vw.mp3</t>
  </si>
  <si>
    <t>files/audio/sentences/Warlawurru_VW.mp3</t>
  </si>
  <si>
    <t>files/audio/sentences/Warlukpin_VW.mp3</t>
  </si>
  <si>
    <t>files/audio/names/wintuk_VW.mp3</t>
  </si>
  <si>
    <t>files/audio/names/yiparrartu_VW.mp3</t>
  </si>
  <si>
    <t>files/audio/names/jamut_VW.mp3</t>
  </si>
  <si>
    <t>files/audio/names/jikirrij_AC.mp3</t>
  </si>
  <si>
    <t>files/audio/names/jiwayurru_VW1.mp3</t>
  </si>
  <si>
    <t>files/audio/names/karrkany_VW.mp3</t>
  </si>
  <si>
    <t>files/audio/names/niinii_VW.mp3</t>
  </si>
  <si>
    <t>files/audio/names/pangarra_VW.mp3</t>
  </si>
  <si>
    <t>files/audio/names/kawulnga_SO.mp3</t>
  </si>
  <si>
    <t>files/audio/names/kumurlawurta_VW.mp3</t>
  </si>
  <si>
    <t>files/audio/names/kurtakurtaka_VW.mp3</t>
  </si>
  <si>
    <t>files/audio/names/kurrarntal_VW.mp3</t>
  </si>
  <si>
    <t>files/audio/names/kulyjara_VW.mp3</t>
  </si>
  <si>
    <t>files/audio/names/karrangkarrang_VW.mp3</t>
  </si>
  <si>
    <t>files/audio/names/tikirrija_VW.mp3</t>
  </si>
  <si>
    <t>files/audio/names/warli_VW.mp3</t>
  </si>
  <si>
    <t>files/audio/names/warlawurru_VW.mp3</t>
  </si>
  <si>
    <t>files/audio/names/janparriman_VW.mp3</t>
  </si>
  <si>
    <t>files/audio/names/walukpin_VW.mp3</t>
  </si>
  <si>
    <t>Jurlaka</t>
  </si>
  <si>
    <t>Gurindji birds</t>
  </si>
  <si>
    <t>alternateName</t>
  </si>
  <si>
    <t>photographerName</t>
  </si>
  <si>
    <t>#wintuk</t>
  </si>
  <si>
    <t>#yiparrartu</t>
  </si>
  <si>
    <t>#jamut</t>
  </si>
  <si>
    <t>#jikirrij</t>
  </si>
  <si>
    <t>#jiwayurru</t>
  </si>
  <si>
    <t>#karrkany</t>
  </si>
  <si>
    <t>#pangarra</t>
  </si>
  <si>
    <t>#kumurlawurta</t>
  </si>
  <si>
    <t>#tuwakin</t>
  </si>
  <si>
    <t>#kurtakurtaka</t>
  </si>
  <si>
    <t>#kurrarntal</t>
  </si>
  <si>
    <t>#kulyjara</t>
  </si>
  <si>
    <t>#karrangkarrang</t>
  </si>
  <si>
    <t>#tikirrija</t>
  </si>
  <si>
    <t>#warli</t>
  </si>
  <si>
    <t>#warlawurru</t>
  </si>
  <si>
    <t>#janparriman</t>
  </si>
  <si>
    <t>#niinii</t>
  </si>
  <si>
    <t>niinii</t>
  </si>
  <si>
    <t>jiika</t>
  </si>
  <si>
    <t>#kawulnga</t>
  </si>
  <si>
    <t>#walukpin</t>
  </si>
  <si>
    <t>walukpin</t>
  </si>
  <si>
    <t>tirrak</t>
  </si>
  <si>
    <t>files/audio/calls/4_Australian_Bustard_('huff'_and_roar).mp3</t>
  </si>
  <si>
    <t>files/audio/calls/6_Channel-billed_Cuckoo_('awk'_calls_-_two_birds_perched).mp3</t>
  </si>
  <si>
    <t>files/audio/calls/7_Australian_Magpie_(terraereginae)(song___alarm).mp3</t>
  </si>
  <si>
    <t>kawulnga</t>
  </si>
  <si>
    <t>parrakparrak</t>
  </si>
  <si>
    <t>files/audio/calls/15_Zebra_Finch_(flock_near_waterhole).mp3</t>
  </si>
  <si>
    <t>files/audio/calls/17_Red-backed_Kingfisher_('keeurp'_-_advertising_call).mp3</t>
  </si>
  <si>
    <t>files/audio/calls/18_Willie_Wagtail_(leucophrys)(song___chitter).mp3</t>
  </si>
  <si>
    <t>files/audio/calls/23_Wedge-tailed_Eagle_(calling_overhead).mp3</t>
  </si>
  <si>
    <t>files/audio/calls/29_Western_Bowerbird_(churrs_at_bower).mp3</t>
  </si>
  <si>
    <t>files/audio/calls/36_Black-faced_Cuckoo-shrike(melanops)(churring_calls_-_interact.mp3</t>
  </si>
  <si>
    <t>files/audio/calls/38_Red-tailed_Black-Cockatoo_(adults_and_juveniles).mp3</t>
  </si>
  <si>
    <t>files/audio/calls/44_Little_Corella_(alarm_screech_and_'corella'_calls).mp3</t>
  </si>
  <si>
    <t>files/audio/calls/64_Brolga_(individual_flying).mp3</t>
  </si>
  <si>
    <t>files/audio/calls/74_Nankeen_Night-Heron_('kyok'_-_colony).mp3</t>
  </si>
  <si>
    <t>files/audio/calls/98_Peaceful_Dove_('coo_a_luk').mp3</t>
  </si>
  <si>
    <t>files/audio/calls/42_Emu_(deep_grunts_and_drumming).mp3</t>
  </si>
  <si>
    <t>Tom and Marie Tarrant</t>
  </si>
  <si>
    <t>Ian Montgomery</t>
  </si>
  <si>
    <t>Bruce Doran</t>
  </si>
  <si>
    <t>Barry McDonald</t>
  </si>
  <si>
    <t>Bob Gosford</t>
  </si>
  <si>
    <t>Ian Morris</t>
  </si>
  <si>
    <t>Steve Parish</t>
  </si>
  <si>
    <t>Partiki nuts are the favourite food of red-tailed black cockatoos. They like sitting up in trees eating the ripe nuts.</t>
  </si>
  <si>
    <t>The favourite food of the black-faced cuckoo shrike is flowers from bauhinias.</t>
  </si>
  <si>
    <t>The eagle eats bush turkeys and kangaroos. It can see its prey from high in the sky. It swoops down and kills them.</t>
  </si>
  <si>
    <t xml:space="preserve">This bird likes to eat snakes. </t>
  </si>
  <si>
    <t>This bird eats termites from termite mounds.</t>
  </si>
  <si>
    <t xml:space="preserve">This bird lives in river areas. It dives deep underwater, looks around for a fish and grabs it. It then brings the fish to the surface and eats it. </t>
  </si>
  <si>
    <t xml:space="preserve">This bird likes to eat whole seeds which grow in river areas. These seeds, called tamurung, are its favourite food. </t>
  </si>
  <si>
    <t>When it's flood time, this bird calls out to let us know that the black berries are ripe.</t>
  </si>
  <si>
    <t>Magpies are messengers. You often hear them calling out early in the morning. That's the magpies signalling bad news. In the old days they used to bring us news of someone's death.</t>
  </si>
  <si>
    <t>This bird calls out "Kawu-kawu!" When you hear it calling, it is signalling that a dangerous kidney fat man from the north is approaching.</t>
  </si>
  <si>
    <t>The corella calls out "Yakak yakak!" for example when people are returning from fishing. We hear it as it flies ahead of them calling out. It signals us that way. "Hey listen to the corella calling. Maybe they're coming back from fishing!"</t>
  </si>
  <si>
    <t>This bird makes Aboriginal people into traditional healers. It does this by throwing a stick at someone's body. When bird hits the person with a stick, they become a traditional healer or 'clever man'.</t>
  </si>
  <si>
    <t>This bird takes glass, needles or anything shiny and puts them in its nest. We call this bird a 'stealing bird'.</t>
  </si>
  <si>
    <t>Your mother will die if you kill a willy wagtail. That's what they used to say about the willy-wagtail. "Don't kill it, or your mother and father might die!"</t>
  </si>
  <si>
    <t>#VioletWadrill</t>
  </si>
  <si>
    <t>Violet Wadrill</t>
  </si>
  <si>
    <t>files/images/Karrangkarrang_IM2.jpeg</t>
  </si>
  <si>
    <t>files/images/Tuwakin_BG.jpeg</t>
  </si>
  <si>
    <t xml:space="preserve">Violet Wadrill was born in 1942 and is a traditional owner of Jutamaliny. She has worked extensively with linguists on the documentation of Gurindji language and culture, including a dictionary, ethnobiology and a number of volumes of collected texts including 'Yijarni: True Stories from Gurindji Country' (2016). She also paints her traditional country, Jutamaliny, and makes tradition- al artefacts such as coolamons and nulla nullas. Her work demonstrates a passion for the maintenance of Gurindji traditions. Violet was a finalist in the ICTV Australian Digital Storytelling Awards 2018 and VIP guest speaker at the NT Writers Festival in 2019. She won the 2024 Prime Minister's Literary Award for Children's Literature for 'Tamarra: A Story of Termites on Gurindji Country' (2024). </t>
  </si>
  <si>
    <t>arcp://name,custom/terms#photographerName</t>
  </si>
  <si>
    <t>the name of the photographer who took the associated image</t>
  </si>
  <si>
    <t>custom:photographerName</t>
  </si>
  <si>
    <t xml:space="preserve">Jamut namata turturl-la ngulu ngarrungkap manani namata wupkarra-la, nyamu-wa jiyarni. “Wartarra wararr-jawung!” Wararr you know ngarrungkapkarra. Wararr-jawung ngurnalu ngalu. Lawara kula-n ngalu nyila-ma. Kula-ngkulu jayingku, kajikajirri-lu-ma, ngaja karrinyana ngirlkirri wankaj karu-ma. Nyila-rni karru nyamu marnana nyantu. Parrngart, ngirlkirri wankaj. Nyamu marnana, “Shhh-kaarra, nyila na. Well kuyany na ngaja karu-ma karrinyana, ngirlkirri-wu-ma, jarrakap-ku-ma. Jamut-ma im kuyany gigin karu-yawung-ku-ma, yapayapa-yawung-ku-ma. </t>
  </si>
  <si>
    <t>Even if pregnant women wanted roasted turkey, they couldn’t eat it when it was cooking. “Hey that’s a nice fatty one”. Fat is the most desirable part you know. We would want to eat the fatty meat. But you couldn’t eat turkey. The old ladies wouldn’t give it to you in case the baby was born with a bad throat. Turkeys make a ‘shhh’ sound [which you can hear it when you're hunting]. It goes like this - sshh. Well that's how the baby will sound when it starts to talk. That’s what eating bush turkey when you're pregnant will do to you.</t>
  </si>
  <si>
    <t>Nyila-ma jurlak-ma wintuk-ma-ngkula kurru karrinyani nyampayirla-lu ngarturr-jawung-kulu nyamu-yinangulu karru karrinyani. Jurlaka nyila na wurunykarraaji. Wankaj drangkarraaji. Karu-ma-lu-nga karru drangkarraaji yalanginyi-ma.  Nyamu-yinangulu ngamayi-lu kurru-ma nyangana. Wankaj nyila-ma jurlak-ma. Nyantu-ma yanana ngu wurunykarra-la marnana ngu, murluwu-ma wawurru-la-ma. Yalanginyi-ma waninyana na. Jurrkjurrkkarra na karru-ma-nga. Wal kuyangka na, nyamu-lu ngarturr-jawung-kulu-ma kurru-ma nyangana yikiliyikili-ngulu jurlak kayi panana, karu-ngku-ma yalungku-ma. Nyamu-nga born manku.</t>
  </si>
  <si>
    <t>Bush stone curlews are dangerous for pregnant women to hear or be near. It whistles and moves like a drunk. Unborn babies will take after the bird. So women with small children and pregnant women can’t listen to curlews. That bird is no good. It goes along whistling in the scrub. Then it falls over. It might convulse then. It will get up afterwards. Well, if the expectant mothers hear it, the babies will follow its ways [and have fits] when they’re born.</t>
  </si>
  <si>
    <t>Kula-n ngalu yiparrartu too, karu-yawung-kulu-ma, ngaja janga karrinyana yapakayi. Kuyarra-la-ma. “Wanyjarra-lu!” Kula-rnalu ngarnani kamparrijang-kulu jaartkarra-ma kuya. Nguyinangulu marnani kajijirri-ma ngaja-nta nganta ngumayijang-kulu-la. Ngaja-lu karrinyana wankaj karu. Kuya nguyinangulu marnani. Namata wararr-jawung nyamu jipij jiyarnani. Nyangani ngulu ngulu ngarramkapkarra manani you know jaartkarra-wu. Lawara, kula-nta ngalu. Ngurnalu ngalu ngantipa-rni marlurluka-lu, kajijirri-lu, jaartkarra-ma. Kula-nta ngalu, yarrulan-tu-ma kirri-ngku-ma, karu-kari-yawung-kulu-ma, wanyjarra-lu. Parik wanyjarra-lu. Kula-nta ngalu!”</t>
  </si>
  <si>
    <t>You can’t eat emu either if you’re pregnant in case the baby gets sick. “You mob leave that [meat] alone!” So we never used to eat it in the old days. That’s what the old ladies used to tell us in case it affected the next generation. Because it might cause problems for the baby. That’s what they used to tell us. Even if it was a nice fatty emu cooking. The [pregnant women] used to see emu and want to eat it. “Sorry but you mob can’t eat it.  Only us old people can eat it. You mob can't have it. You’re pregnant so you have to leave that meat. Don’t have it. You mob shouldn’t eat it!”</t>
  </si>
  <si>
    <t xml:space="preserve">Jikirrij nyamu-n-nga parru tampang, ngamayi-ma ngu tampang karru kuya. Kuyaji na nyawa-ma. Marnani ngulu-rla, nyawa-wu-ma jikirrij-ku-ma. Nomo parra, kuya, ngaja ngamayi ngaji ngaja-ngkulu tampang karru. </t>
  </si>
  <si>
    <t>Pinka-ngarna nyila-ma karrangkarrang-ma. Tarap waninyana na nyinypuruk kaninyjal. Ngurla nyangana yawu manana. Nyawa-ma kankulupala-yirri yanana pakara-la yawu-ma.  Yawu na jaartkarra nyangana.</t>
  </si>
  <si>
    <t>Walukpin nyila-ma tirrak partiki-wu-ngarnu-waji. Partiki ngu ngarnana murlungku-ma jurlak-kulu-ma. Karnti-ka-wu partiki-la-wu partartajkarra nyamu-lu-rla karrinyana ngulu ngarnana janypalk partiki na.</t>
  </si>
  <si>
    <t>Karrkany-ma - ngumpit nguyina panana kurnpirlirn-pirrji. Karnti ngurla-nyanta nyanuny puya-ngarna yuwanana. Nyamu-wa nyila-ma ngumpit-ma panana karrkany-ju-ma karrinyana nyangunyangu na.</t>
  </si>
  <si>
    <t>Nyawa-ma kumurlawurta lintarr ngu marnana. Maitbi ngun kurru nyangku kaputkaput jarrakap-jirri-ma. Kumurlawurta nyawa-ma marnana ngu lintarr nyampa-kurra-wayin? Maiti lintarr-waji nyawa-ma. Lintarr nguyina marnani kamparrijang-kulu kurnka-wu.</t>
  </si>
  <si>
    <t>Kurrarntal-lu-ma mangarri-ma-lu ngalu kinyuwurra. Kinyuwurra kurrijkurrij-karra ngarnana kurrarntal-lu-ma. Nyanuny-ma mangarri-ma kinyuwurra.</t>
  </si>
  <si>
    <t>The brolga like to eat bush onions. They scratch around for them and eat them. Their favourite food is bush onions.</t>
  </si>
  <si>
    <t>The channel-billed cuckoo sings when Christmas is near. "Ah it's singing for Christmas!" That's what the men and women used to say in the old days. This bird lets us know that Christmas is coming. That's the channel-billed cuckoo.</t>
  </si>
  <si>
    <t>Kurtakurtaka nganta marnana nyawa-ma Christmas time-ma, "Ah Christmas-ku na marnana nyila-ma." Kuya-rnangulu kurru nyangani kamparrijang-kulu marlurluka-lu-ma kajijirri-lu-ma. Christmas nyila-ma lintarr ngurla marnana kuya. Nyawa-ma-lu jurlak kurtakurtaka.</t>
  </si>
  <si>
    <t>Yuwayi nyawa na ngurnalu warra kangana jurlaka, niinii-walija. Nyamu-lu-nga wanku yirrpkarra-ma kuya-ma wal ngurnalu kurru nyangana. Maiti kaja-ngarna yu nou. Ngapuku-murlung-kula. "Warta niinii-walija nyila nyila. Ngulu yirrpkarra waninyana na niinii-ma, kurlpapkurlpap. Maiti ngawa-ngka. "Ngawa-wu nyangku-rla majka jeya, kuya-ma, "Karrap yijarni nyawa-ma. Billabong ngawa-yawung. Warta yijarni yijarni langka na. Langka na ngawa-yawung. Yijarni kuya ngawa nyawa," kuya. Nyangku na jurlaka-la yapayapa-la. Ngawa-ngkurra-ma nyamu-lu yanana.</t>
  </si>
  <si>
    <t>Yes we watch out for this bird - finches. When they converge [on the waterhole] like this, well we hear them. Maybe when you're in the bush feeling thirsty you know. "Hey finches there and there!" They converge to the water's edge. Try looking for water there. True have a look here. A billabong with water. Hey true there's a billabong. A billabong full of water. True - there's water here. Look for the small birds when they fly to the water.</t>
  </si>
  <si>
    <t>files/audio/names/tuwakin_vw.mp3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</si>
</sst>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6" tint="0.59999389629810485"/>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3" borderId="0" xfId="0" applyFill="1" applyAlignment="1">
      <alignment vertical="center" wrapText="1"/>
    </xf>
    <xf numFmtId="0" fontId="0" fillId="0" borderId="0" xfId="0"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zoomScale="140" zoomScaleNormal="140" workbookViewId="0">
      <selection activeCell="B6" sqref="B6"/>
    </sheetView>
  </sheetViews>
  <sheetFormatPr baseColWidth="10" defaultColWidth="8.83203125" defaultRowHeight="15" x14ac:dyDescent="0.2"/>
  <cols>
    <col min="1" max="1" width="15" customWidth="1"/>
  </cols>
  <sheetData>
    <row r="1" spans="1:2" x14ac:dyDescent="0.2">
      <c r="A1" s="1" t="s">
        <v>0</v>
      </c>
      <c r="B1" s="1" t="s">
        <v>1</v>
      </c>
    </row>
    <row r="2" spans="1:2" x14ac:dyDescent="0.2">
      <c r="A2" t="s">
        <v>2</v>
      </c>
      <c r="B2" t="s">
        <v>3</v>
      </c>
    </row>
    <row r="3" spans="1:2" x14ac:dyDescent="0.2">
      <c r="A3" t="s">
        <v>4</v>
      </c>
      <c r="B3" t="s">
        <v>5</v>
      </c>
    </row>
    <row r="4" spans="1:2" x14ac:dyDescent="0.2">
      <c r="A4" t="s">
        <v>0</v>
      </c>
      <c r="B4" t="s">
        <v>180</v>
      </c>
    </row>
    <row r="5" spans="1:2" x14ac:dyDescent="0.2">
      <c r="A5" t="s">
        <v>6</v>
      </c>
      <c r="B5" t="s">
        <v>181</v>
      </c>
    </row>
    <row r="6" spans="1:2" x14ac:dyDescent="0.2">
      <c r="A6" t="s">
        <v>7</v>
      </c>
    </row>
    <row r="7" spans="1:2" x14ac:dyDescent="0.2">
      <c r="A7"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baseColWidth="10" defaultColWidth="8.83203125" defaultRowHeight="15" x14ac:dyDescent="0.2"/>
  <sheetData>
    <row r="1" spans="1:2" x14ac:dyDescent="0.2">
      <c r="A1" s="1" t="s">
        <v>0</v>
      </c>
      <c r="B1" s="1" t="s">
        <v>1</v>
      </c>
    </row>
    <row r="2" spans="1:2" x14ac:dyDescent="0.2">
      <c r="A2" t="s">
        <v>9</v>
      </c>
      <c r="B2" t="s">
        <v>10</v>
      </c>
    </row>
    <row r="3" spans="1:2" x14ac:dyDescent="0.2">
      <c r="A3" t="s">
        <v>11</v>
      </c>
      <c r="B3" t="s">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1"/>
  <sheetViews>
    <sheetView tabSelected="1" zoomScale="130" zoomScaleNormal="130" workbookViewId="0">
      <pane xSplit="3" topLeftCell="N1" activePane="topRight" state="frozen"/>
      <selection pane="topRight" activeCell="P2" sqref="P2"/>
    </sheetView>
  </sheetViews>
  <sheetFormatPr baseColWidth="10" defaultColWidth="8.83203125" defaultRowHeight="15" x14ac:dyDescent="0.2"/>
  <cols>
    <col min="1" max="1" width="18" style="5" customWidth="1"/>
    <col min="2" max="2" width="18.6640625" style="3" customWidth="1"/>
    <col min="3" max="4" width="17" style="3" customWidth="1"/>
    <col min="5" max="5" width="8.83203125" style="3"/>
    <col min="6" max="6" width="28.6640625" style="3" customWidth="1"/>
    <col min="7" max="7" width="20.6640625" style="3" customWidth="1"/>
    <col min="8" max="8" width="44" style="3" customWidth="1"/>
    <col min="9" max="9" width="21.83203125" style="3" customWidth="1"/>
    <col min="10" max="13" width="30" style="3" customWidth="1"/>
    <col min="14" max="17" width="30.6640625" style="3" customWidth="1"/>
    <col min="18" max="16384" width="8.83203125" style="3"/>
  </cols>
  <sheetData>
    <row r="1" spans="1:17" ht="48" x14ac:dyDescent="0.2">
      <c r="A1" s="4" t="s">
        <v>2</v>
      </c>
      <c r="B1" s="2" t="s">
        <v>4</v>
      </c>
      <c r="C1" s="2" t="s">
        <v>0</v>
      </c>
      <c r="D1" s="2" t="s">
        <v>182</v>
      </c>
      <c r="E1" s="2" t="s">
        <v>13</v>
      </c>
      <c r="F1" s="2" t="s">
        <v>14</v>
      </c>
      <c r="G1" s="2" t="s">
        <v>15</v>
      </c>
      <c r="H1" s="2" t="s">
        <v>16</v>
      </c>
      <c r="I1" s="2" t="s">
        <v>17</v>
      </c>
      <c r="J1" s="2" t="s">
        <v>18</v>
      </c>
      <c r="K1" s="2" t="s">
        <v>19</v>
      </c>
      <c r="L1" s="2" t="s">
        <v>253</v>
      </c>
      <c r="M1" s="2" t="s">
        <v>20</v>
      </c>
      <c r="N1" s="2" t="s">
        <v>21</v>
      </c>
      <c r="O1" s="2" t="s">
        <v>22</v>
      </c>
      <c r="P1" s="2" t="s">
        <v>23</v>
      </c>
      <c r="Q1" s="2" t="s">
        <v>24</v>
      </c>
    </row>
    <row r="2" spans="1:17" ht="304" x14ac:dyDescent="0.2">
      <c r="A2" s="5" t="str">
        <f t="shared" ref="A2:A21" si="0">_xlfn.CONCAT("#", C2)</f>
        <v>#wintuk</v>
      </c>
      <c r="B2" s="3" t="s">
        <v>25</v>
      </c>
      <c r="C2" s="3" t="s">
        <v>61</v>
      </c>
      <c r="E2" s="3" t="s">
        <v>3</v>
      </c>
      <c r="F2" s="3" t="s">
        <v>246</v>
      </c>
      <c r="G2" s="3" t="s">
        <v>26</v>
      </c>
      <c r="H2" s="3" t="s">
        <v>27</v>
      </c>
      <c r="I2" s="3" t="s">
        <v>62</v>
      </c>
      <c r="J2" s="3" t="s">
        <v>256</v>
      </c>
      <c r="K2" s="3" t="s">
        <v>257</v>
      </c>
      <c r="L2" s="3" t="s">
        <v>225</v>
      </c>
      <c r="M2" s="3" t="s">
        <v>63</v>
      </c>
      <c r="N2" s="3" t="s">
        <v>126</v>
      </c>
      <c r="O2" s="6"/>
      <c r="P2" s="3" t="s">
        <v>161</v>
      </c>
      <c r="Q2" s="3" t="s">
        <v>144</v>
      </c>
    </row>
    <row r="3" spans="1:17" ht="304" x14ac:dyDescent="0.2">
      <c r="A3" s="5" t="str">
        <f t="shared" si="0"/>
        <v>#yiparrartu</v>
      </c>
      <c r="B3" s="3" t="s">
        <v>25</v>
      </c>
      <c r="C3" s="3" t="s">
        <v>64</v>
      </c>
      <c r="E3" s="3" t="s">
        <v>3</v>
      </c>
      <c r="F3" s="3" t="s">
        <v>246</v>
      </c>
      <c r="G3" s="3" t="s">
        <v>26</v>
      </c>
      <c r="H3" s="3" t="s">
        <v>27</v>
      </c>
      <c r="I3" s="3" t="s">
        <v>65</v>
      </c>
      <c r="J3" s="3" t="s">
        <v>258</v>
      </c>
      <c r="K3" s="3" t="s">
        <v>259</v>
      </c>
      <c r="L3" s="3" t="s">
        <v>226</v>
      </c>
      <c r="M3" s="3" t="s">
        <v>66</v>
      </c>
      <c r="N3" s="3" t="s">
        <v>127</v>
      </c>
      <c r="O3" s="3" t="s">
        <v>224</v>
      </c>
      <c r="P3" s="3" t="s">
        <v>162</v>
      </c>
      <c r="Q3" s="3" t="s">
        <v>145</v>
      </c>
    </row>
    <row r="4" spans="1:17" ht="272" x14ac:dyDescent="0.2">
      <c r="A4" s="5" t="str">
        <f t="shared" si="0"/>
        <v>#jamut</v>
      </c>
      <c r="B4" s="3" t="s">
        <v>25</v>
      </c>
      <c r="C4" s="3" t="s">
        <v>67</v>
      </c>
      <c r="E4" s="3" t="s">
        <v>3</v>
      </c>
      <c r="F4" s="3" t="s">
        <v>246</v>
      </c>
      <c r="G4" s="3" t="s">
        <v>26</v>
      </c>
      <c r="H4" s="3" t="s">
        <v>27</v>
      </c>
      <c r="I4" s="3" t="s">
        <v>68</v>
      </c>
      <c r="J4" s="3" t="s">
        <v>254</v>
      </c>
      <c r="K4" s="3" t="s">
        <v>255</v>
      </c>
      <c r="L4" s="3" t="s">
        <v>227</v>
      </c>
      <c r="M4" s="3" t="s">
        <v>69</v>
      </c>
      <c r="N4" s="3" t="s">
        <v>128</v>
      </c>
      <c r="O4" s="3" t="s">
        <v>208</v>
      </c>
      <c r="P4" s="3" t="s">
        <v>163</v>
      </c>
      <c r="Q4" s="3" t="s">
        <v>146</v>
      </c>
    </row>
    <row r="5" spans="1:17" ht="96" x14ac:dyDescent="0.2">
      <c r="A5" s="5" t="str">
        <f t="shared" si="0"/>
        <v>#jikirrij</v>
      </c>
      <c r="B5" s="3" t="s">
        <v>25</v>
      </c>
      <c r="C5" s="3" t="s">
        <v>70</v>
      </c>
      <c r="E5" s="3" t="s">
        <v>3</v>
      </c>
      <c r="F5" s="3" t="s">
        <v>246</v>
      </c>
      <c r="G5" s="3" t="s">
        <v>26</v>
      </c>
      <c r="H5" s="3" t="s">
        <v>27</v>
      </c>
      <c r="I5" s="3" t="s">
        <v>71</v>
      </c>
      <c r="J5" s="3" t="s">
        <v>260</v>
      </c>
      <c r="K5" s="3" t="s">
        <v>245</v>
      </c>
      <c r="L5" s="3" t="s">
        <v>228</v>
      </c>
      <c r="M5" s="3" t="s">
        <v>72</v>
      </c>
      <c r="N5" s="3" t="s">
        <v>129</v>
      </c>
      <c r="O5" s="3" t="s">
        <v>215</v>
      </c>
      <c r="P5" s="3" t="s">
        <v>164</v>
      </c>
      <c r="Q5" s="3" t="s">
        <v>147</v>
      </c>
    </row>
    <row r="6" spans="1:17" ht="80" x14ac:dyDescent="0.2">
      <c r="A6" s="5" t="str">
        <f t="shared" si="0"/>
        <v>#jiwayurru</v>
      </c>
      <c r="B6" s="3" t="s">
        <v>25</v>
      </c>
      <c r="C6" s="3" t="s">
        <v>73</v>
      </c>
      <c r="E6" s="3" t="s">
        <v>3</v>
      </c>
      <c r="F6" s="3" t="s">
        <v>246</v>
      </c>
      <c r="G6" s="3" t="s">
        <v>26</v>
      </c>
      <c r="H6" s="3" t="s">
        <v>27</v>
      </c>
      <c r="I6" s="3" t="s">
        <v>74</v>
      </c>
      <c r="J6" s="3" t="s">
        <v>75</v>
      </c>
      <c r="K6" s="3" t="s">
        <v>244</v>
      </c>
      <c r="L6" s="3" t="s">
        <v>229</v>
      </c>
      <c r="M6" s="3" t="s">
        <v>76</v>
      </c>
      <c r="N6" s="3" t="s">
        <v>130</v>
      </c>
      <c r="O6" s="3" t="s">
        <v>217</v>
      </c>
      <c r="P6" s="3" t="s">
        <v>165</v>
      </c>
      <c r="Q6" s="3" t="s">
        <v>148</v>
      </c>
    </row>
    <row r="7" spans="1:17" ht="96" x14ac:dyDescent="0.2">
      <c r="A7" s="5" t="str">
        <f t="shared" si="0"/>
        <v>#karrkany</v>
      </c>
      <c r="B7" s="3" t="s">
        <v>25</v>
      </c>
      <c r="C7" s="3" t="s">
        <v>77</v>
      </c>
      <c r="E7" s="3" t="s">
        <v>3</v>
      </c>
      <c r="F7" s="3" t="s">
        <v>246</v>
      </c>
      <c r="G7" s="3" t="s">
        <v>26</v>
      </c>
      <c r="H7" s="3" t="s">
        <v>27</v>
      </c>
      <c r="I7" s="3" t="s">
        <v>78</v>
      </c>
      <c r="J7" s="3" t="s">
        <v>263</v>
      </c>
      <c r="K7" s="3" t="s">
        <v>243</v>
      </c>
      <c r="L7" s="3" t="s">
        <v>229</v>
      </c>
      <c r="M7" s="3" t="s">
        <v>28</v>
      </c>
      <c r="N7" s="3" t="s">
        <v>131</v>
      </c>
      <c r="O7" s="3" t="s">
        <v>29</v>
      </c>
      <c r="P7" s="3" t="s">
        <v>166</v>
      </c>
      <c r="Q7" s="3" t="s">
        <v>149</v>
      </c>
    </row>
    <row r="8" spans="1:17" ht="272" x14ac:dyDescent="0.2">
      <c r="A8" s="5" t="str">
        <f t="shared" si="0"/>
        <v>#niinii</v>
      </c>
      <c r="B8" s="3" t="s">
        <v>25</v>
      </c>
      <c r="C8" s="3" t="s">
        <v>202</v>
      </c>
      <c r="D8" s="3" t="s">
        <v>203</v>
      </c>
      <c r="E8" s="3" t="s">
        <v>3</v>
      </c>
      <c r="F8" s="3" t="s">
        <v>246</v>
      </c>
      <c r="G8" s="3" t="s">
        <v>26</v>
      </c>
      <c r="H8" s="3" t="s">
        <v>27</v>
      </c>
      <c r="I8" s="3" t="s">
        <v>79</v>
      </c>
      <c r="J8" s="3" t="s">
        <v>269</v>
      </c>
      <c r="K8" s="3" t="s">
        <v>270</v>
      </c>
      <c r="L8" s="3" t="s">
        <v>229</v>
      </c>
      <c r="M8" s="3" t="s">
        <v>80</v>
      </c>
      <c r="N8" s="3" t="s">
        <v>132</v>
      </c>
      <c r="O8" s="3" t="s">
        <v>213</v>
      </c>
      <c r="P8" s="3" t="s">
        <v>167</v>
      </c>
      <c r="Q8" s="3" t="s">
        <v>150</v>
      </c>
    </row>
    <row r="9" spans="1:17" ht="160" x14ac:dyDescent="0.2">
      <c r="A9" s="5" t="str">
        <f t="shared" si="0"/>
        <v>#pangarra</v>
      </c>
      <c r="B9" s="3" t="s">
        <v>25</v>
      </c>
      <c r="C9" s="3" t="s">
        <v>81</v>
      </c>
      <c r="E9" s="3" t="s">
        <v>3</v>
      </c>
      <c r="F9" s="3" t="s">
        <v>246</v>
      </c>
      <c r="G9" s="3" t="s">
        <v>26</v>
      </c>
      <c r="H9" s="3" t="s">
        <v>27</v>
      </c>
      <c r="I9" s="3" t="s">
        <v>84</v>
      </c>
      <c r="J9" s="3" t="s">
        <v>82</v>
      </c>
      <c r="K9" s="3" t="s">
        <v>242</v>
      </c>
      <c r="L9" s="3" t="s">
        <v>226</v>
      </c>
      <c r="M9" s="3" t="s">
        <v>83</v>
      </c>
      <c r="N9" s="3" t="s">
        <v>133</v>
      </c>
      <c r="O9" s="3" t="s">
        <v>220</v>
      </c>
      <c r="P9" s="3" t="s">
        <v>168</v>
      </c>
      <c r="Q9" s="3" t="s">
        <v>151</v>
      </c>
    </row>
    <row r="10" spans="1:17" ht="64" x14ac:dyDescent="0.2">
      <c r="A10" s="5" t="str">
        <f t="shared" si="0"/>
        <v>#kawulnga</v>
      </c>
      <c r="B10" s="3" t="s">
        <v>25</v>
      </c>
      <c r="C10" s="3" t="s">
        <v>211</v>
      </c>
      <c r="D10" s="3" t="s">
        <v>212</v>
      </c>
      <c r="E10" s="3" t="s">
        <v>3</v>
      </c>
      <c r="F10" s="3" t="s">
        <v>246</v>
      </c>
      <c r="G10" s="3" t="s">
        <v>26</v>
      </c>
      <c r="H10" s="3" t="s">
        <v>27</v>
      </c>
      <c r="I10" s="3" t="s">
        <v>85</v>
      </c>
      <c r="J10" s="3" t="s">
        <v>86</v>
      </c>
      <c r="K10" s="3" t="s">
        <v>241</v>
      </c>
      <c r="L10" s="3" t="s">
        <v>230</v>
      </c>
      <c r="M10" s="3" t="s">
        <v>87</v>
      </c>
      <c r="N10" s="3" t="s">
        <v>134</v>
      </c>
      <c r="O10" s="3" t="s">
        <v>222</v>
      </c>
      <c r="P10" s="3" t="s">
        <v>169</v>
      </c>
      <c r="Q10" s="6"/>
    </row>
    <row r="11" spans="1:17" ht="128" x14ac:dyDescent="0.2">
      <c r="A11" s="5" t="str">
        <f t="shared" si="0"/>
        <v>#kumurlawurta</v>
      </c>
      <c r="B11" s="3" t="s">
        <v>25</v>
      </c>
      <c r="C11" s="3" t="s">
        <v>88</v>
      </c>
      <c r="E11" s="3" t="s">
        <v>3</v>
      </c>
      <c r="F11" s="3" t="s">
        <v>246</v>
      </c>
      <c r="G11" s="3" t="s">
        <v>26</v>
      </c>
      <c r="H11" s="3" t="s">
        <v>27</v>
      </c>
      <c r="I11" s="3" t="s">
        <v>89</v>
      </c>
      <c r="J11" s="3" t="s">
        <v>264</v>
      </c>
      <c r="K11" s="3" t="s">
        <v>240</v>
      </c>
      <c r="L11" s="3" t="s">
        <v>229</v>
      </c>
      <c r="M11" s="3" t="s">
        <v>90</v>
      </c>
      <c r="N11" s="3" t="s">
        <v>135</v>
      </c>
      <c r="O11" s="3" t="s">
        <v>210</v>
      </c>
      <c r="P11" s="3" t="s">
        <v>170</v>
      </c>
      <c r="Q11" s="3" t="s">
        <v>152</v>
      </c>
    </row>
    <row r="12" spans="1:17" ht="48" x14ac:dyDescent="0.2">
      <c r="A12" s="5" t="str">
        <f t="shared" si="0"/>
        <v>#tuwakin</v>
      </c>
      <c r="B12" s="3" t="s">
        <v>25</v>
      </c>
      <c r="C12" s="3" t="s">
        <v>91</v>
      </c>
      <c r="E12" s="3" t="s">
        <v>3</v>
      </c>
      <c r="F12" s="3" t="s">
        <v>246</v>
      </c>
      <c r="G12" s="3" t="s">
        <v>26</v>
      </c>
      <c r="H12" s="3" t="s">
        <v>27</v>
      </c>
      <c r="I12" s="3" t="s">
        <v>92</v>
      </c>
      <c r="J12" s="3" t="s">
        <v>93</v>
      </c>
      <c r="K12" s="3" t="s">
        <v>239</v>
      </c>
      <c r="L12" s="3" t="s">
        <v>229</v>
      </c>
      <c r="M12" s="3" t="s">
        <v>94</v>
      </c>
      <c r="N12" s="3" t="s">
        <v>249</v>
      </c>
      <c r="O12" s="6"/>
      <c r="P12" s="7" t="s">
        <v>271</v>
      </c>
      <c r="Q12" s="3" t="s">
        <v>153</v>
      </c>
    </row>
    <row r="13" spans="1:17" ht="128" x14ac:dyDescent="0.2">
      <c r="A13" s="5" t="str">
        <f t="shared" si="0"/>
        <v>#kurtakurtaka</v>
      </c>
      <c r="B13" s="3" t="s">
        <v>25</v>
      </c>
      <c r="C13" s="3" t="s">
        <v>95</v>
      </c>
      <c r="E13" s="3" t="s">
        <v>3</v>
      </c>
      <c r="F13" s="3" t="s">
        <v>246</v>
      </c>
      <c r="G13" s="3" t="s">
        <v>26</v>
      </c>
      <c r="H13" s="3" t="s">
        <v>27</v>
      </c>
      <c r="I13" s="3" t="s">
        <v>96</v>
      </c>
      <c r="J13" s="3" t="s">
        <v>268</v>
      </c>
      <c r="K13" s="3" t="s">
        <v>267</v>
      </c>
      <c r="L13" s="3" t="s">
        <v>231</v>
      </c>
      <c r="M13" s="3" t="s">
        <v>97</v>
      </c>
      <c r="N13" s="3" t="s">
        <v>136</v>
      </c>
      <c r="O13" s="3" t="s">
        <v>209</v>
      </c>
      <c r="P13" s="3" t="s">
        <v>171</v>
      </c>
      <c r="Q13" s="3" t="s">
        <v>154</v>
      </c>
    </row>
    <row r="14" spans="1:17" ht="80" x14ac:dyDescent="0.2">
      <c r="A14" s="5" t="str">
        <f t="shared" si="0"/>
        <v>#kurrarntal</v>
      </c>
      <c r="B14" s="3" t="s">
        <v>25</v>
      </c>
      <c r="C14" s="3" t="s">
        <v>98</v>
      </c>
      <c r="E14" s="3" t="s">
        <v>3</v>
      </c>
      <c r="F14" s="3" t="s">
        <v>246</v>
      </c>
      <c r="G14" s="3" t="s">
        <v>26</v>
      </c>
      <c r="H14" s="3" t="s">
        <v>27</v>
      </c>
      <c r="I14" s="3" t="s">
        <v>99</v>
      </c>
      <c r="J14" s="3" t="s">
        <v>265</v>
      </c>
      <c r="K14" s="3" t="s">
        <v>266</v>
      </c>
      <c r="L14" s="3" t="s">
        <v>226</v>
      </c>
      <c r="M14" s="3" t="s">
        <v>100</v>
      </c>
      <c r="N14" s="3" t="s">
        <v>137</v>
      </c>
      <c r="O14" s="3" t="s">
        <v>221</v>
      </c>
      <c r="P14" s="3" t="s">
        <v>172</v>
      </c>
      <c r="Q14" s="3" t="s">
        <v>155</v>
      </c>
    </row>
    <row r="15" spans="1:17" ht="64" x14ac:dyDescent="0.2">
      <c r="A15" s="5" t="str">
        <f t="shared" si="0"/>
        <v>#kulyjara</v>
      </c>
      <c r="B15" s="3" t="s">
        <v>25</v>
      </c>
      <c r="C15" s="3" t="s">
        <v>101</v>
      </c>
      <c r="E15" s="3" t="s">
        <v>3</v>
      </c>
      <c r="F15" s="3" t="s">
        <v>246</v>
      </c>
      <c r="G15" s="3" t="s">
        <v>26</v>
      </c>
      <c r="H15" s="3" t="s">
        <v>27</v>
      </c>
      <c r="I15" s="3" t="s">
        <v>102</v>
      </c>
      <c r="J15" s="3" t="s">
        <v>103</v>
      </c>
      <c r="K15" s="3" t="s">
        <v>238</v>
      </c>
      <c r="L15" s="3" t="s">
        <v>225</v>
      </c>
      <c r="M15" s="3" t="s">
        <v>104</v>
      </c>
      <c r="N15" s="3" t="s">
        <v>138</v>
      </c>
      <c r="O15" s="3" t="s">
        <v>223</v>
      </c>
      <c r="P15" s="3" t="s">
        <v>173</v>
      </c>
      <c r="Q15" s="3" t="s">
        <v>156</v>
      </c>
    </row>
    <row r="16" spans="1:17" ht="96" x14ac:dyDescent="0.2">
      <c r="A16" s="5" t="str">
        <f t="shared" si="0"/>
        <v>#karrangkarrang</v>
      </c>
      <c r="B16" s="3" t="s">
        <v>25</v>
      </c>
      <c r="C16" s="3" t="s">
        <v>105</v>
      </c>
      <c r="E16" s="3" t="s">
        <v>3</v>
      </c>
      <c r="F16" s="3" t="s">
        <v>246</v>
      </c>
      <c r="G16" s="3" t="s">
        <v>26</v>
      </c>
      <c r="H16" s="3" t="s">
        <v>27</v>
      </c>
      <c r="I16" s="3" t="s">
        <v>106</v>
      </c>
      <c r="J16" s="3" t="s">
        <v>261</v>
      </c>
      <c r="K16" s="3" t="s">
        <v>237</v>
      </c>
      <c r="L16" s="3" t="s">
        <v>230</v>
      </c>
      <c r="M16" s="3" t="s">
        <v>107</v>
      </c>
      <c r="N16" s="3" t="s">
        <v>248</v>
      </c>
      <c r="O16" s="6" t="s">
        <v>174</v>
      </c>
      <c r="P16" s="3" t="s">
        <v>174</v>
      </c>
      <c r="Q16" s="3" t="s">
        <v>157</v>
      </c>
    </row>
    <row r="17" spans="1:17" ht="48" x14ac:dyDescent="0.2">
      <c r="A17" s="5" t="str">
        <f t="shared" si="0"/>
        <v>#tikirrija</v>
      </c>
      <c r="B17" s="3" t="s">
        <v>25</v>
      </c>
      <c r="C17" s="3" t="s">
        <v>108</v>
      </c>
      <c r="E17" s="3" t="s">
        <v>3</v>
      </c>
      <c r="F17" s="3" t="s">
        <v>246</v>
      </c>
      <c r="G17" s="3" t="s">
        <v>26</v>
      </c>
      <c r="H17" s="3" t="s">
        <v>27</v>
      </c>
      <c r="I17" s="3" t="s">
        <v>109</v>
      </c>
      <c r="J17" s="3" t="s">
        <v>110</v>
      </c>
      <c r="K17" s="3" t="s">
        <v>236</v>
      </c>
      <c r="L17" s="3" t="s">
        <v>229</v>
      </c>
      <c r="M17" s="3" t="s">
        <v>111</v>
      </c>
      <c r="N17" s="3" t="s">
        <v>139</v>
      </c>
      <c r="O17" s="3" t="s">
        <v>214</v>
      </c>
      <c r="P17" s="3" t="s">
        <v>175</v>
      </c>
      <c r="Q17" s="3" t="s">
        <v>158</v>
      </c>
    </row>
    <row r="18" spans="1:17" ht="16" x14ac:dyDescent="0.2">
      <c r="A18" s="5" t="str">
        <f t="shared" si="0"/>
        <v>#warli</v>
      </c>
      <c r="B18" s="3" t="s">
        <v>25</v>
      </c>
      <c r="C18" s="3" t="s">
        <v>112</v>
      </c>
      <c r="E18" s="3" t="s">
        <v>3</v>
      </c>
      <c r="F18" s="3" t="s">
        <v>246</v>
      </c>
      <c r="G18" s="3" t="s">
        <v>26</v>
      </c>
      <c r="H18" s="3" t="s">
        <v>27</v>
      </c>
      <c r="I18" s="3" t="s">
        <v>113</v>
      </c>
      <c r="J18" s="3" t="s">
        <v>114</v>
      </c>
      <c r="K18" s="3" t="s">
        <v>235</v>
      </c>
      <c r="L18" s="3" t="s">
        <v>231</v>
      </c>
      <c r="M18" s="3" t="s">
        <v>115</v>
      </c>
      <c r="N18" s="3" t="s">
        <v>140</v>
      </c>
      <c r="O18" s="6"/>
      <c r="P18" s="3" t="s">
        <v>176</v>
      </c>
      <c r="Q18" s="6"/>
    </row>
    <row r="19" spans="1:17" ht="96" x14ac:dyDescent="0.2">
      <c r="A19" s="5" t="str">
        <f t="shared" si="0"/>
        <v>#warlawurru</v>
      </c>
      <c r="B19" s="3" t="s">
        <v>25</v>
      </c>
      <c r="C19" s="3" t="s">
        <v>116</v>
      </c>
      <c r="E19" s="3" t="s">
        <v>3</v>
      </c>
      <c r="F19" s="3" t="s">
        <v>246</v>
      </c>
      <c r="G19" s="3" t="s">
        <v>26</v>
      </c>
      <c r="H19" s="3" t="s">
        <v>27</v>
      </c>
      <c r="I19" s="3" t="s">
        <v>117</v>
      </c>
      <c r="J19" s="3" t="s">
        <v>118</v>
      </c>
      <c r="K19" s="3" t="s">
        <v>234</v>
      </c>
      <c r="L19" s="3" t="s">
        <v>229</v>
      </c>
      <c r="M19" s="3" t="s">
        <v>119</v>
      </c>
      <c r="N19" s="3" t="s">
        <v>141</v>
      </c>
      <c r="O19" s="3" t="s">
        <v>216</v>
      </c>
      <c r="P19" s="3" t="s">
        <v>177</v>
      </c>
      <c r="Q19" s="3" t="s">
        <v>159</v>
      </c>
    </row>
    <row r="20" spans="1:17" ht="64" x14ac:dyDescent="0.2">
      <c r="A20" s="5" t="str">
        <f t="shared" si="0"/>
        <v>#janparriman</v>
      </c>
      <c r="B20" s="3" t="s">
        <v>25</v>
      </c>
      <c r="C20" s="3" t="s">
        <v>120</v>
      </c>
      <c r="E20" s="3" t="s">
        <v>3</v>
      </c>
      <c r="F20" s="3" t="s">
        <v>246</v>
      </c>
      <c r="G20" s="3" t="s">
        <v>26</v>
      </c>
      <c r="H20" s="3" t="s">
        <v>27</v>
      </c>
      <c r="I20" s="3" t="s">
        <v>121</v>
      </c>
      <c r="J20" s="3" t="s">
        <v>123</v>
      </c>
      <c r="K20" s="3" t="s">
        <v>233</v>
      </c>
      <c r="L20" s="3" t="s">
        <v>226</v>
      </c>
      <c r="M20" s="3" t="s">
        <v>122</v>
      </c>
      <c r="N20" s="3" t="s">
        <v>142</v>
      </c>
      <c r="O20" s="3" t="s">
        <v>218</v>
      </c>
      <c r="P20" s="3" t="s">
        <v>178</v>
      </c>
      <c r="Q20" s="6"/>
    </row>
    <row r="21" spans="1:17" ht="96" x14ac:dyDescent="0.2">
      <c r="A21" s="5" t="str">
        <f t="shared" si="0"/>
        <v>#walukpin</v>
      </c>
      <c r="B21" s="3" t="s">
        <v>25</v>
      </c>
      <c r="C21" s="3" t="s">
        <v>206</v>
      </c>
      <c r="D21" s="3" t="s">
        <v>207</v>
      </c>
      <c r="E21" s="3" t="s">
        <v>3</v>
      </c>
      <c r="F21" s="3" t="s">
        <v>246</v>
      </c>
      <c r="G21" s="3" t="s">
        <v>26</v>
      </c>
      <c r="H21" s="3" t="s">
        <v>27</v>
      </c>
      <c r="I21" s="3" t="s">
        <v>124</v>
      </c>
      <c r="J21" s="3" t="s">
        <v>262</v>
      </c>
      <c r="K21" s="3" t="s">
        <v>232</v>
      </c>
      <c r="L21" s="3" t="s">
        <v>231</v>
      </c>
      <c r="M21" s="3" t="s">
        <v>125</v>
      </c>
      <c r="N21" s="3" t="s">
        <v>143</v>
      </c>
      <c r="O21" s="3" t="s">
        <v>219</v>
      </c>
      <c r="P21" s="3" t="s">
        <v>179</v>
      </c>
      <c r="Q21" s="3" t="s">
        <v>160</v>
      </c>
    </row>
  </sheetData>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5"/>
  <sheetViews>
    <sheetView topLeftCell="A25" zoomScale="140" zoomScaleNormal="140" workbookViewId="0">
      <selection activeCell="A71" sqref="A71:XFD71"/>
    </sheetView>
  </sheetViews>
  <sheetFormatPr baseColWidth="10" defaultColWidth="8.83203125" defaultRowHeight="15" x14ac:dyDescent="0.2"/>
  <cols>
    <col min="1" max="1" width="69" customWidth="1"/>
    <col min="3" max="3" width="63.1640625" customWidth="1"/>
  </cols>
  <sheetData>
    <row r="1" spans="1:4" x14ac:dyDescent="0.2">
      <c r="A1" s="1" t="s">
        <v>2</v>
      </c>
      <c r="B1" s="1" t="s">
        <v>4</v>
      </c>
      <c r="C1" s="1" t="s">
        <v>30</v>
      </c>
      <c r="D1" s="1"/>
    </row>
    <row r="2" spans="1:4" ht="16" x14ac:dyDescent="0.2">
      <c r="A2" s="3" t="s">
        <v>126</v>
      </c>
      <c r="B2" t="s">
        <v>31</v>
      </c>
      <c r="C2" s="3" t="s">
        <v>184</v>
      </c>
    </row>
    <row r="3" spans="1:4" ht="16" x14ac:dyDescent="0.2">
      <c r="A3" s="3" t="s">
        <v>161</v>
      </c>
      <c r="B3" t="s">
        <v>31</v>
      </c>
      <c r="C3" s="3" t="s">
        <v>184</v>
      </c>
    </row>
    <row r="4" spans="1:4" ht="16" x14ac:dyDescent="0.2">
      <c r="A4" s="3" t="s">
        <v>144</v>
      </c>
      <c r="B4" t="s">
        <v>31</v>
      </c>
      <c r="C4" s="3" t="s">
        <v>184</v>
      </c>
    </row>
    <row r="5" spans="1:4" ht="16" x14ac:dyDescent="0.2">
      <c r="A5" s="3" t="s">
        <v>127</v>
      </c>
      <c r="B5" t="s">
        <v>31</v>
      </c>
      <c r="C5" s="3" t="s">
        <v>185</v>
      </c>
    </row>
    <row r="6" spans="1:4" ht="16" x14ac:dyDescent="0.2">
      <c r="A6" s="3" t="s">
        <v>224</v>
      </c>
      <c r="B6" t="s">
        <v>31</v>
      </c>
      <c r="C6" s="3" t="s">
        <v>185</v>
      </c>
    </row>
    <row r="7" spans="1:4" ht="16" x14ac:dyDescent="0.2">
      <c r="A7" s="3" t="s">
        <v>162</v>
      </c>
      <c r="B7" t="s">
        <v>31</v>
      </c>
      <c r="C7" s="3" t="s">
        <v>185</v>
      </c>
    </row>
    <row r="8" spans="1:4" ht="16" x14ac:dyDescent="0.2">
      <c r="A8" s="3" t="s">
        <v>145</v>
      </c>
      <c r="B8" t="s">
        <v>31</v>
      </c>
      <c r="C8" s="3" t="s">
        <v>185</v>
      </c>
    </row>
    <row r="9" spans="1:4" ht="16" x14ac:dyDescent="0.2">
      <c r="A9" s="3" t="s">
        <v>128</v>
      </c>
      <c r="B9" t="s">
        <v>31</v>
      </c>
      <c r="C9" s="3" t="s">
        <v>186</v>
      </c>
    </row>
    <row r="10" spans="1:4" ht="16" x14ac:dyDescent="0.2">
      <c r="A10" s="3" t="s">
        <v>208</v>
      </c>
      <c r="B10" t="s">
        <v>31</v>
      </c>
      <c r="C10" s="3" t="s">
        <v>186</v>
      </c>
    </row>
    <row r="11" spans="1:4" ht="16" x14ac:dyDescent="0.2">
      <c r="A11" s="3" t="s">
        <v>163</v>
      </c>
      <c r="B11" t="s">
        <v>31</v>
      </c>
      <c r="C11" s="3" t="s">
        <v>186</v>
      </c>
    </row>
    <row r="12" spans="1:4" ht="16" x14ac:dyDescent="0.2">
      <c r="A12" s="3" t="s">
        <v>146</v>
      </c>
      <c r="B12" t="s">
        <v>31</v>
      </c>
      <c r="C12" s="3" t="s">
        <v>186</v>
      </c>
    </row>
    <row r="13" spans="1:4" ht="16" x14ac:dyDescent="0.2">
      <c r="A13" s="3" t="s">
        <v>129</v>
      </c>
      <c r="B13" t="s">
        <v>31</v>
      </c>
      <c r="C13" s="3" t="s">
        <v>187</v>
      </c>
    </row>
    <row r="14" spans="1:4" ht="16" x14ac:dyDescent="0.2">
      <c r="A14" s="3" t="s">
        <v>215</v>
      </c>
      <c r="B14" t="s">
        <v>31</v>
      </c>
      <c r="C14" s="3" t="s">
        <v>187</v>
      </c>
    </row>
    <row r="15" spans="1:4" ht="16" x14ac:dyDescent="0.2">
      <c r="A15" s="3" t="s">
        <v>164</v>
      </c>
      <c r="B15" t="s">
        <v>31</v>
      </c>
      <c r="C15" s="3" t="s">
        <v>187</v>
      </c>
    </row>
    <row r="16" spans="1:4" ht="16" x14ac:dyDescent="0.2">
      <c r="A16" s="3" t="s">
        <v>147</v>
      </c>
      <c r="B16" t="s">
        <v>31</v>
      </c>
      <c r="C16" s="3" t="s">
        <v>187</v>
      </c>
    </row>
    <row r="17" spans="1:3" ht="16" x14ac:dyDescent="0.2">
      <c r="A17" s="3" t="s">
        <v>130</v>
      </c>
      <c r="B17" t="s">
        <v>31</v>
      </c>
      <c r="C17" s="3" t="s">
        <v>188</v>
      </c>
    </row>
    <row r="18" spans="1:3" ht="16" x14ac:dyDescent="0.2">
      <c r="A18" s="3" t="s">
        <v>217</v>
      </c>
      <c r="B18" t="s">
        <v>31</v>
      </c>
      <c r="C18" s="3" t="s">
        <v>188</v>
      </c>
    </row>
    <row r="19" spans="1:3" ht="16" x14ac:dyDescent="0.2">
      <c r="A19" s="3" t="s">
        <v>165</v>
      </c>
      <c r="B19" t="s">
        <v>31</v>
      </c>
      <c r="C19" s="3" t="s">
        <v>188</v>
      </c>
    </row>
    <row r="20" spans="1:3" ht="16" x14ac:dyDescent="0.2">
      <c r="A20" s="3" t="s">
        <v>148</v>
      </c>
      <c r="B20" t="s">
        <v>31</v>
      </c>
      <c r="C20" s="3" t="s">
        <v>188</v>
      </c>
    </row>
    <row r="21" spans="1:3" ht="16" x14ac:dyDescent="0.2">
      <c r="A21" s="3" t="s">
        <v>131</v>
      </c>
      <c r="B21" t="s">
        <v>31</v>
      </c>
      <c r="C21" s="3" t="s">
        <v>189</v>
      </c>
    </row>
    <row r="22" spans="1:3" ht="16" x14ac:dyDescent="0.2">
      <c r="A22" s="3" t="s">
        <v>29</v>
      </c>
      <c r="B22" t="s">
        <v>31</v>
      </c>
      <c r="C22" s="3" t="s">
        <v>189</v>
      </c>
    </row>
    <row r="23" spans="1:3" ht="16" x14ac:dyDescent="0.2">
      <c r="A23" s="3" t="s">
        <v>166</v>
      </c>
      <c r="B23" t="s">
        <v>31</v>
      </c>
      <c r="C23" s="3" t="s">
        <v>189</v>
      </c>
    </row>
    <row r="24" spans="1:3" ht="16" x14ac:dyDescent="0.2">
      <c r="A24" s="3" t="s">
        <v>149</v>
      </c>
      <c r="B24" t="s">
        <v>31</v>
      </c>
      <c r="C24" s="3" t="s">
        <v>189</v>
      </c>
    </row>
    <row r="25" spans="1:3" ht="16" x14ac:dyDescent="0.2">
      <c r="A25" s="3" t="s">
        <v>132</v>
      </c>
      <c r="B25" t="s">
        <v>31</v>
      </c>
      <c r="C25" s="3" t="s">
        <v>201</v>
      </c>
    </row>
    <row r="26" spans="1:3" ht="16" x14ac:dyDescent="0.2">
      <c r="A26" s="3" t="s">
        <v>213</v>
      </c>
      <c r="B26" t="s">
        <v>31</v>
      </c>
      <c r="C26" s="3" t="s">
        <v>201</v>
      </c>
    </row>
    <row r="27" spans="1:3" ht="16" x14ac:dyDescent="0.2">
      <c r="A27" s="3" t="s">
        <v>167</v>
      </c>
      <c r="B27" t="s">
        <v>31</v>
      </c>
      <c r="C27" s="3" t="s">
        <v>201</v>
      </c>
    </row>
    <row r="28" spans="1:3" ht="16" x14ac:dyDescent="0.2">
      <c r="A28" s="3" t="s">
        <v>150</v>
      </c>
      <c r="B28" t="s">
        <v>31</v>
      </c>
      <c r="C28" s="3" t="s">
        <v>201</v>
      </c>
    </row>
    <row r="29" spans="1:3" ht="16" x14ac:dyDescent="0.2">
      <c r="A29" s="3" t="s">
        <v>133</v>
      </c>
      <c r="B29" t="s">
        <v>31</v>
      </c>
      <c r="C29" s="3" t="s">
        <v>190</v>
      </c>
    </row>
    <row r="30" spans="1:3" ht="16" x14ac:dyDescent="0.2">
      <c r="A30" s="3" t="s">
        <v>220</v>
      </c>
      <c r="B30" t="s">
        <v>31</v>
      </c>
      <c r="C30" s="3" t="s">
        <v>190</v>
      </c>
    </row>
    <row r="31" spans="1:3" ht="16" x14ac:dyDescent="0.2">
      <c r="A31" s="3" t="s">
        <v>168</v>
      </c>
      <c r="B31" t="s">
        <v>31</v>
      </c>
      <c r="C31" s="3" t="s">
        <v>190</v>
      </c>
    </row>
    <row r="32" spans="1:3" ht="16" x14ac:dyDescent="0.2">
      <c r="A32" s="3" t="s">
        <v>151</v>
      </c>
      <c r="B32" t="s">
        <v>31</v>
      </c>
      <c r="C32" s="3" t="s">
        <v>190</v>
      </c>
    </row>
    <row r="33" spans="1:3" ht="16" x14ac:dyDescent="0.2">
      <c r="A33" s="3" t="s">
        <v>134</v>
      </c>
      <c r="B33" t="s">
        <v>31</v>
      </c>
      <c r="C33" s="3" t="s">
        <v>204</v>
      </c>
    </row>
    <row r="34" spans="1:3" ht="16" x14ac:dyDescent="0.2">
      <c r="A34" s="3" t="s">
        <v>222</v>
      </c>
      <c r="B34" t="s">
        <v>31</v>
      </c>
      <c r="C34" s="3" t="s">
        <v>204</v>
      </c>
    </row>
    <row r="35" spans="1:3" ht="16" x14ac:dyDescent="0.2">
      <c r="A35" s="3" t="s">
        <v>169</v>
      </c>
      <c r="B35" t="s">
        <v>31</v>
      </c>
      <c r="C35" s="3" t="s">
        <v>204</v>
      </c>
    </row>
    <row r="36" spans="1:3" ht="16" x14ac:dyDescent="0.2">
      <c r="A36" s="3" t="s">
        <v>135</v>
      </c>
      <c r="B36" t="s">
        <v>31</v>
      </c>
      <c r="C36" s="3" t="s">
        <v>191</v>
      </c>
    </row>
    <row r="37" spans="1:3" ht="16" x14ac:dyDescent="0.2">
      <c r="A37" s="3" t="s">
        <v>210</v>
      </c>
      <c r="B37" t="s">
        <v>31</v>
      </c>
      <c r="C37" s="3" t="s">
        <v>191</v>
      </c>
    </row>
    <row r="38" spans="1:3" ht="16" x14ac:dyDescent="0.2">
      <c r="A38" s="3" t="s">
        <v>170</v>
      </c>
      <c r="B38" t="s">
        <v>31</v>
      </c>
      <c r="C38" s="3" t="s">
        <v>191</v>
      </c>
    </row>
    <row r="39" spans="1:3" ht="16" x14ac:dyDescent="0.2">
      <c r="A39" s="3" t="s">
        <v>152</v>
      </c>
      <c r="B39" t="s">
        <v>31</v>
      </c>
      <c r="C39" s="3" t="s">
        <v>191</v>
      </c>
    </row>
    <row r="40" spans="1:3" ht="16" x14ac:dyDescent="0.2">
      <c r="A40" s="3" t="s">
        <v>249</v>
      </c>
      <c r="B40" t="s">
        <v>31</v>
      </c>
      <c r="C40" s="3" t="s">
        <v>192</v>
      </c>
    </row>
    <row r="41" spans="1:3" ht="16" x14ac:dyDescent="0.2">
      <c r="A41" s="3" t="s">
        <v>29</v>
      </c>
      <c r="B41" t="s">
        <v>31</v>
      </c>
      <c r="C41" s="3" t="s">
        <v>192</v>
      </c>
    </row>
    <row r="42" spans="1:3" ht="16" x14ac:dyDescent="0.2">
      <c r="A42" s="3" t="s">
        <v>153</v>
      </c>
      <c r="B42" t="s">
        <v>31</v>
      </c>
      <c r="C42" s="3" t="s">
        <v>192</v>
      </c>
    </row>
    <row r="43" spans="1:3" ht="16" x14ac:dyDescent="0.2">
      <c r="A43" s="3" t="s">
        <v>136</v>
      </c>
      <c r="B43" t="s">
        <v>31</v>
      </c>
      <c r="C43" s="3" t="s">
        <v>193</v>
      </c>
    </row>
    <row r="44" spans="1:3" ht="16" x14ac:dyDescent="0.2">
      <c r="A44" s="3" t="s">
        <v>209</v>
      </c>
      <c r="B44" t="s">
        <v>31</v>
      </c>
      <c r="C44" s="3" t="s">
        <v>193</v>
      </c>
    </row>
    <row r="45" spans="1:3" ht="16" x14ac:dyDescent="0.2">
      <c r="A45" s="3" t="s">
        <v>171</v>
      </c>
      <c r="B45" t="s">
        <v>31</v>
      </c>
      <c r="C45" s="3" t="s">
        <v>193</v>
      </c>
    </row>
    <row r="46" spans="1:3" ht="16" x14ac:dyDescent="0.2">
      <c r="A46" s="3" t="s">
        <v>154</v>
      </c>
      <c r="B46" t="s">
        <v>31</v>
      </c>
      <c r="C46" s="3" t="s">
        <v>193</v>
      </c>
    </row>
    <row r="47" spans="1:3" ht="16" x14ac:dyDescent="0.2">
      <c r="A47" s="3" t="s">
        <v>137</v>
      </c>
      <c r="B47" t="s">
        <v>31</v>
      </c>
      <c r="C47" s="3" t="s">
        <v>194</v>
      </c>
    </row>
    <row r="48" spans="1:3" ht="16" x14ac:dyDescent="0.2">
      <c r="A48" s="3" t="s">
        <v>221</v>
      </c>
      <c r="B48" t="s">
        <v>31</v>
      </c>
      <c r="C48" s="3" t="s">
        <v>194</v>
      </c>
    </row>
    <row r="49" spans="1:3" ht="16" x14ac:dyDescent="0.2">
      <c r="A49" s="3" t="s">
        <v>172</v>
      </c>
      <c r="B49" t="s">
        <v>31</v>
      </c>
      <c r="C49" s="3" t="s">
        <v>194</v>
      </c>
    </row>
    <row r="50" spans="1:3" ht="16" x14ac:dyDescent="0.2">
      <c r="A50" s="3" t="s">
        <v>155</v>
      </c>
      <c r="B50" t="s">
        <v>31</v>
      </c>
      <c r="C50" s="3" t="s">
        <v>194</v>
      </c>
    </row>
    <row r="51" spans="1:3" ht="16" x14ac:dyDescent="0.2">
      <c r="A51" s="3" t="s">
        <v>138</v>
      </c>
      <c r="B51" t="s">
        <v>31</v>
      </c>
      <c r="C51" s="3" t="s">
        <v>195</v>
      </c>
    </row>
    <row r="52" spans="1:3" ht="16" x14ac:dyDescent="0.2">
      <c r="A52" s="3" t="s">
        <v>223</v>
      </c>
      <c r="B52" t="s">
        <v>31</v>
      </c>
      <c r="C52" s="3" t="s">
        <v>195</v>
      </c>
    </row>
    <row r="53" spans="1:3" ht="16" x14ac:dyDescent="0.2">
      <c r="A53" s="3" t="s">
        <v>173</v>
      </c>
      <c r="B53" t="s">
        <v>31</v>
      </c>
      <c r="C53" s="3" t="s">
        <v>195</v>
      </c>
    </row>
    <row r="54" spans="1:3" ht="16" x14ac:dyDescent="0.2">
      <c r="A54" s="3" t="s">
        <v>156</v>
      </c>
      <c r="B54" t="s">
        <v>31</v>
      </c>
      <c r="C54" s="3" t="s">
        <v>195</v>
      </c>
    </row>
    <row r="55" spans="1:3" ht="16" x14ac:dyDescent="0.2">
      <c r="A55" s="3" t="s">
        <v>248</v>
      </c>
      <c r="B55" t="s">
        <v>31</v>
      </c>
      <c r="C55" s="3" t="s">
        <v>196</v>
      </c>
    </row>
    <row r="56" spans="1:3" ht="16" x14ac:dyDescent="0.2">
      <c r="A56" s="3" t="s">
        <v>29</v>
      </c>
      <c r="B56" t="s">
        <v>31</v>
      </c>
      <c r="C56" s="3" t="s">
        <v>196</v>
      </c>
    </row>
    <row r="57" spans="1:3" ht="16" x14ac:dyDescent="0.2">
      <c r="A57" s="3" t="s">
        <v>174</v>
      </c>
      <c r="B57" t="s">
        <v>31</v>
      </c>
      <c r="C57" s="3" t="s">
        <v>196</v>
      </c>
    </row>
    <row r="58" spans="1:3" ht="16" x14ac:dyDescent="0.2">
      <c r="A58" s="3" t="s">
        <v>157</v>
      </c>
      <c r="B58" t="s">
        <v>31</v>
      </c>
      <c r="C58" s="3" t="s">
        <v>196</v>
      </c>
    </row>
    <row r="59" spans="1:3" ht="16" x14ac:dyDescent="0.2">
      <c r="A59" s="3" t="s">
        <v>139</v>
      </c>
      <c r="B59" t="s">
        <v>31</v>
      </c>
      <c r="C59" s="3" t="s">
        <v>197</v>
      </c>
    </row>
    <row r="60" spans="1:3" ht="16" x14ac:dyDescent="0.2">
      <c r="A60" s="3" t="s">
        <v>214</v>
      </c>
      <c r="B60" t="s">
        <v>31</v>
      </c>
      <c r="C60" s="3" t="s">
        <v>197</v>
      </c>
    </row>
    <row r="61" spans="1:3" ht="16" x14ac:dyDescent="0.2">
      <c r="A61" s="3" t="s">
        <v>175</v>
      </c>
      <c r="B61" t="s">
        <v>31</v>
      </c>
      <c r="C61" s="3" t="s">
        <v>197</v>
      </c>
    </row>
    <row r="62" spans="1:3" ht="16" x14ac:dyDescent="0.2">
      <c r="A62" s="3" t="s">
        <v>158</v>
      </c>
      <c r="B62" t="s">
        <v>31</v>
      </c>
      <c r="C62" s="3" t="s">
        <v>197</v>
      </c>
    </row>
    <row r="63" spans="1:3" ht="16" x14ac:dyDescent="0.2">
      <c r="A63" s="3" t="s">
        <v>140</v>
      </c>
      <c r="B63" t="s">
        <v>31</v>
      </c>
      <c r="C63" s="3" t="s">
        <v>198</v>
      </c>
    </row>
    <row r="64" spans="1:3" ht="16" x14ac:dyDescent="0.2">
      <c r="A64" s="3" t="s">
        <v>176</v>
      </c>
      <c r="B64" t="s">
        <v>31</v>
      </c>
      <c r="C64" s="3" t="s">
        <v>198</v>
      </c>
    </row>
    <row r="65" spans="1:3" ht="16" x14ac:dyDescent="0.2">
      <c r="A65" s="3" t="s">
        <v>141</v>
      </c>
      <c r="B65" t="s">
        <v>31</v>
      </c>
      <c r="C65" s="3" t="s">
        <v>199</v>
      </c>
    </row>
    <row r="66" spans="1:3" ht="16" x14ac:dyDescent="0.2">
      <c r="A66" s="3" t="s">
        <v>216</v>
      </c>
      <c r="B66" t="s">
        <v>31</v>
      </c>
      <c r="C66" s="3" t="s">
        <v>199</v>
      </c>
    </row>
    <row r="67" spans="1:3" ht="16" x14ac:dyDescent="0.2">
      <c r="A67" s="3" t="s">
        <v>177</v>
      </c>
      <c r="B67" t="s">
        <v>31</v>
      </c>
      <c r="C67" s="3" t="s">
        <v>199</v>
      </c>
    </row>
    <row r="68" spans="1:3" ht="16" x14ac:dyDescent="0.2">
      <c r="A68" s="3" t="s">
        <v>159</v>
      </c>
      <c r="B68" t="s">
        <v>31</v>
      </c>
      <c r="C68" s="3" t="s">
        <v>199</v>
      </c>
    </row>
    <row r="69" spans="1:3" ht="16" x14ac:dyDescent="0.2">
      <c r="A69" s="3" t="s">
        <v>142</v>
      </c>
      <c r="B69" t="s">
        <v>31</v>
      </c>
      <c r="C69" s="3" t="s">
        <v>200</v>
      </c>
    </row>
    <row r="70" spans="1:3" ht="32" x14ac:dyDescent="0.2">
      <c r="A70" s="3" t="s">
        <v>218</v>
      </c>
      <c r="B70" t="s">
        <v>31</v>
      </c>
      <c r="C70" s="3" t="s">
        <v>200</v>
      </c>
    </row>
    <row r="71" spans="1:3" ht="16" x14ac:dyDescent="0.2">
      <c r="A71" s="3" t="s">
        <v>178</v>
      </c>
      <c r="B71" t="s">
        <v>31</v>
      </c>
      <c r="C71" s="3" t="s">
        <v>200</v>
      </c>
    </row>
    <row r="72" spans="1:3" ht="16" x14ac:dyDescent="0.2">
      <c r="A72" s="3" t="s">
        <v>143</v>
      </c>
      <c r="B72" t="s">
        <v>31</v>
      </c>
      <c r="C72" s="3" t="s">
        <v>205</v>
      </c>
    </row>
    <row r="73" spans="1:3" ht="16" x14ac:dyDescent="0.2">
      <c r="A73" s="3" t="s">
        <v>219</v>
      </c>
      <c r="B73" t="s">
        <v>31</v>
      </c>
      <c r="C73" s="3" t="s">
        <v>205</v>
      </c>
    </row>
    <row r="74" spans="1:3" ht="16" x14ac:dyDescent="0.2">
      <c r="A74" s="3" t="s">
        <v>179</v>
      </c>
      <c r="B74" t="s">
        <v>31</v>
      </c>
      <c r="C74" s="3" t="s">
        <v>205</v>
      </c>
    </row>
    <row r="75" spans="1:3" ht="16" x14ac:dyDescent="0.2">
      <c r="A75" s="3" t="s">
        <v>160</v>
      </c>
      <c r="B75" t="s">
        <v>31</v>
      </c>
      <c r="C75" s="3" t="s">
        <v>205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zoomScale="140" zoomScaleNormal="140" workbookViewId="0">
      <selection activeCell="C2" sqref="C2"/>
    </sheetView>
  </sheetViews>
  <sheetFormatPr baseColWidth="10" defaultColWidth="8.83203125" defaultRowHeight="15" x14ac:dyDescent="0.2"/>
  <cols>
    <col min="1" max="1" width="21.33203125" customWidth="1"/>
    <col min="2" max="2" width="23.83203125" customWidth="1"/>
    <col min="3" max="3" width="21" customWidth="1"/>
  </cols>
  <sheetData>
    <row r="1" spans="1:3" x14ac:dyDescent="0.2">
      <c r="A1" s="1" t="s">
        <v>2</v>
      </c>
      <c r="B1" s="1" t="s">
        <v>0</v>
      </c>
      <c r="C1" s="1" t="s">
        <v>6</v>
      </c>
    </row>
    <row r="2" spans="1:3" x14ac:dyDescent="0.2">
      <c r="A2" t="s">
        <v>246</v>
      </c>
      <c r="B2" t="s">
        <v>247</v>
      </c>
      <c r="C2" t="s">
        <v>250</v>
      </c>
    </row>
  </sheetData>
  <pageMargins left="0.75" right="0.75" top="1" bottom="1" header="0.5" footer="0.5"/>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
  <sheetViews>
    <sheetView zoomScale="130" zoomScaleNormal="130" workbookViewId="0">
      <selection activeCell="D10" sqref="D10"/>
    </sheetView>
  </sheetViews>
  <sheetFormatPr baseColWidth="10" defaultColWidth="8.83203125" defaultRowHeight="15" x14ac:dyDescent="0.2"/>
  <cols>
    <col min="1" max="1" width="34.33203125" bestFit="1" customWidth="1"/>
    <col min="2" max="2" width="10.5" bestFit="1" customWidth="1"/>
    <col min="3" max="3" width="16.5" bestFit="1" customWidth="1"/>
    <col min="4" max="4" width="38.33203125" bestFit="1" customWidth="1"/>
  </cols>
  <sheetData>
    <row r="1" spans="1:4" x14ac:dyDescent="0.2">
      <c r="A1" s="1" t="s">
        <v>2</v>
      </c>
      <c r="B1" s="1" t="s">
        <v>4</v>
      </c>
      <c r="C1" s="1" t="s">
        <v>0</v>
      </c>
      <c r="D1" s="1" t="s">
        <v>6</v>
      </c>
    </row>
    <row r="2" spans="1:4" x14ac:dyDescent="0.2">
      <c r="A2" t="s">
        <v>32</v>
      </c>
      <c r="B2" t="s">
        <v>33</v>
      </c>
      <c r="C2" t="s">
        <v>34</v>
      </c>
      <c r="D2" t="s">
        <v>35</v>
      </c>
    </row>
    <row r="3" spans="1:4" x14ac:dyDescent="0.2">
      <c r="A3" t="s">
        <v>36</v>
      </c>
      <c r="B3" t="s">
        <v>33</v>
      </c>
      <c r="C3" t="s">
        <v>37</v>
      </c>
      <c r="D3" t="s">
        <v>38</v>
      </c>
    </row>
    <row r="4" spans="1:4" x14ac:dyDescent="0.2">
      <c r="A4" t="s">
        <v>39</v>
      </c>
      <c r="B4" t="s">
        <v>33</v>
      </c>
      <c r="C4" t="s">
        <v>40</v>
      </c>
      <c r="D4" t="s">
        <v>41</v>
      </c>
    </row>
    <row r="5" spans="1:4" x14ac:dyDescent="0.2">
      <c r="A5" t="s">
        <v>42</v>
      </c>
      <c r="B5" t="s">
        <v>33</v>
      </c>
      <c r="C5" t="s">
        <v>43</v>
      </c>
      <c r="D5" t="s">
        <v>44</v>
      </c>
    </row>
    <row r="6" spans="1:4" x14ac:dyDescent="0.2">
      <c r="A6" t="s">
        <v>39</v>
      </c>
      <c r="B6" t="s">
        <v>33</v>
      </c>
      <c r="C6" t="s">
        <v>45</v>
      </c>
      <c r="D6" t="s">
        <v>46</v>
      </c>
    </row>
    <row r="7" spans="1:4" x14ac:dyDescent="0.2">
      <c r="A7" t="s">
        <v>47</v>
      </c>
      <c r="B7" t="s">
        <v>33</v>
      </c>
      <c r="C7" t="s">
        <v>48</v>
      </c>
      <c r="D7" t="s">
        <v>49</v>
      </c>
    </row>
    <row r="8" spans="1:4" x14ac:dyDescent="0.2">
      <c r="A8" t="s">
        <v>50</v>
      </c>
      <c r="B8" t="s">
        <v>33</v>
      </c>
      <c r="C8" t="s">
        <v>51</v>
      </c>
      <c r="D8" t="s">
        <v>52</v>
      </c>
    </row>
    <row r="9" spans="1:4" x14ac:dyDescent="0.2">
      <c r="A9" t="s">
        <v>53</v>
      </c>
      <c r="B9" t="s">
        <v>33</v>
      </c>
      <c r="C9" t="s">
        <v>54</v>
      </c>
      <c r="D9" t="s">
        <v>55</v>
      </c>
    </row>
    <row r="10" spans="1:4" x14ac:dyDescent="0.2">
      <c r="A10" t="s">
        <v>251</v>
      </c>
      <c r="B10" t="s">
        <v>33</v>
      </c>
      <c r="C10" t="s">
        <v>183</v>
      </c>
      <c r="D10" t="s">
        <v>252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
  <sheetViews>
    <sheetView workbookViewId="0">
      <selection activeCell="F29" sqref="F29"/>
    </sheetView>
  </sheetViews>
  <sheetFormatPr baseColWidth="10" defaultColWidth="8.83203125" defaultRowHeight="15" x14ac:dyDescent="0.2"/>
  <cols>
    <col min="1" max="1" width="31.33203125" customWidth="1"/>
    <col min="3" max="3" width="26.5" customWidth="1"/>
  </cols>
  <sheetData>
    <row r="1" spans="1:4" x14ac:dyDescent="0.2">
      <c r="A1" s="1" t="s">
        <v>2</v>
      </c>
      <c r="B1" s="1" t="s">
        <v>4</v>
      </c>
      <c r="C1" s="1" t="s">
        <v>56</v>
      </c>
      <c r="D1" s="1" t="s">
        <v>57</v>
      </c>
    </row>
    <row r="2" spans="1:4" x14ac:dyDescent="0.2">
      <c r="A2" t="s">
        <v>58</v>
      </c>
      <c r="B2" t="s">
        <v>59</v>
      </c>
      <c r="C2" t="s">
        <v>60</v>
      </c>
      <c r="D2"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RootDataset</vt:lpstr>
      <vt:lpstr>@context</vt:lpstr>
      <vt:lpstr>Entries</vt:lpstr>
      <vt:lpstr>Files</vt:lpstr>
      <vt:lpstr>People</vt:lpstr>
      <vt:lpstr>CustomFields</vt:lpstr>
      <vt:lpstr>AboutPage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Felicity Meakins</cp:lastModifiedBy>
  <dcterms:created xsi:type="dcterms:W3CDTF">2025-10-09T02:02:11Z</dcterms:created>
  <dcterms:modified xsi:type="dcterms:W3CDTF">2026-03-25T03:12:18Z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2025-10-23T08:18:38Z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338bae1f-26f4-42cb-bddc-6f1c5c71a6dd</vt:lpwstr>
  </property>
  <property fmtid="{D5CDD505-2E9C-101B-9397-08002B2CF9AE}" pid="8" name="MSIP_Label_0f488380-630a-4f55-a077-a19445e3f360_ContentBits">
    <vt:lpwstr>0</vt:lpwstr>
  </property>
</Properties>
</file>