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bby/Documents/Work/PosterWebsites/ro-crate-html-lite/test_data/gurindji_bush_medicine/data/"/>
    </mc:Choice>
  </mc:AlternateContent>
  <xr:revisionPtr revIDLastSave="0" documentId="13_ncr:1_{97FE878D-92C0-3940-8D63-6F6A3DC8B15C}" xr6:coauthVersionLast="47" xr6:coauthVersionMax="47" xr10:uidLastSave="{00000000-0000-0000-0000-000000000000}"/>
  <bookViews>
    <workbookView xWindow="0" yWindow="760" windowWidth="30240" windowHeight="17280" activeTab="3" xr2:uid="{00000000-000D-0000-FFFF-FFFF00000000}"/>
  </bookViews>
  <sheets>
    <sheet name="RootDataset" sheetId="1" r:id="rId1"/>
    <sheet name="@context" sheetId="2" r:id="rId2"/>
    <sheet name="Entries" sheetId="3" r:id="rId3"/>
    <sheet name="Files" sheetId="4" r:id="rId4"/>
    <sheet name="People"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3" l="1"/>
  <c r="A16" i="3"/>
  <c r="A15" i="3"/>
  <c r="A14" i="3"/>
  <c r="A13" i="3"/>
  <c r="A12" i="3"/>
  <c r="A11" i="3"/>
  <c r="A10" i="3"/>
  <c r="A9" i="3"/>
  <c r="A8" i="3"/>
  <c r="A7" i="3"/>
  <c r="A6" i="3"/>
  <c r="A5" i="3"/>
  <c r="A4" i="3"/>
  <c r="A3" i="3"/>
  <c r="A2" i="3"/>
</calcChain>
</file>

<file path=xl/sharedStrings.xml><?xml version="1.0" encoding="utf-8"?>
<sst xmlns="http://schemas.openxmlformats.org/spreadsheetml/2006/main" count="513" uniqueCount="243">
  <si>
    <t>name</t>
  </si>
  <si>
    <t>value</t>
  </si>
  <si>
    <t>@id</t>
  </si>
  <si>
    <t>./</t>
  </si>
  <si>
    <t>@type</t>
  </si>
  <si>
    <t>[Dataset,RepositoryCollection]</t>
  </si>
  <si>
    <t>description</t>
  </si>
  <si>
    <t>isRef_author</t>
  </si>
  <si>
    <t>isRef_publisher</t>
  </si>
  <si>
    <t>ldac</t>
  </si>
  <si>
    <t>https://w3id.org/ldac/terms#</t>
  </si>
  <si>
    <t>custom</t>
  </si>
  <si>
    <t>arcp://name,custom/terms#</t>
  </si>
  <si>
    <t>isRef_pcdm:memberOf</t>
  </si>
  <si>
    <t>datePublished</t>
  </si>
  <si>
    <t>isRef_license</t>
  </si>
  <si>
    <t>custom:translation</t>
  </si>
  <si>
    <t>custom:sentence</t>
  </si>
  <si>
    <t>custom:sentenceTranslation</t>
  </si>
  <si>
    <t>custom:scientificName</t>
  </si>
  <si>
    <t>isRef_custom:image</t>
  </si>
  <si>
    <t>isRef_custom:nameAudio</t>
  </si>
  <si>
    <t>isRef_custom:sentenceAudio</t>
  </si>
  <si>
    <t>RepositoryObject</t>
  </si>
  <si>
    <t>2016-11-08 01:36:17</t>
  </si>
  <si>
    <t>https://creativecommons.org/licenses/by/4.0/</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</si>
  <si>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</si>
  <si>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</si>
  <si>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</si>
  <si>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</si>
  <si>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</si>
  <si>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</si>
  <si>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</si>
  <si>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</si>
  <si>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</si>
  <si>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</si>
  <si>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</si>
  <si>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</si>
  <si>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</si>
  <si>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</si>
  <si>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</si>
  <si>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</si>
  <si>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</si>
  <si>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</si>
  <si>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</si>
  <si>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</si>
  <si>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</si>
  <si>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</si>
  <si>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</si>
  <si>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</si>
  <si>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</si>
  <si>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</si>
  <si>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</si>
  <si>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</si>
  <si>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</si>
  <si>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</si>
  <si>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</si>
  <si>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alternateName</t>
  </si>
  <si>
    <t>#VioletWadrill</t>
  </si>
  <si>
    <t>Violet Wadrill</t>
  </si>
  <si>
    <t>Leiopotherapon unicolor</t>
  </si>
  <si>
    <t>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</si>
  <si>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#BiddyWavehill</t>
  </si>
  <si>
    <t>Biddy Wavehill Yamawurr</t>
  </si>
  <si>
    <t>Biddy Wavehill Yamawurr Nangala was born in 1942 to Mariah Yakngarri
Nangari and Cracker Jarluyarri Jampijina under a wanyarri (bauhinia tree)
at Jinparrak (old Wave Hill Station). She is the sister of Ronnie Wavehill
and Steven Long. Biddy grew up at the station and worked in the
stockman’s quarters when she was a young woman. She met her husband,
Jimmy Wavehill Ngawanyja, at the station, and they travelled around,
working on many different cattle stations including Limbunya, Waterloo,
Argyle, Ivanhoe, Bow River, Mable Downs, Spring Creek and Nicholson
before returning to Limbunya. Biddy and Jimmy now live at Kalkaringi
with their 10 children, 24 grandchildren and 15 great-grandchildren.
Biddy has been heavily involved with Gurindji language and culture
documentation projects with Felicity Meakins, Erika Charola and Lauren
Campbell, including the dictionary and ethnobiology compilation. She is
also a director of the Karungkarni Art and Culture Aboriginal Corporation.
She paints her Dreamings, including ngawa (water), janginyina (lightning),
wampana (spectacled hare wallaby) and yarrkankurna (white cockatoo).
In 2011, Biddy represented the region in the development of designs for
the Katherine Region Cultural Precinct, and in 2013 Biddy represented
Karungkarni Arts at Megalo Printmaking Studios in Canberra.</t>
  </si>
  <si>
    <t>#TopsyDodd</t>
  </si>
  <si>
    <t>Topsy Dodd Ngarnjal</t>
  </si>
  <si>
    <t>Topsy Dodd Ngarnjalngali Nangari was born at Jinparrak (old Wave Hill
Station) in 1934 to Minnie Karnayingali Nawurla and Blutcher Waruyarri
Janama. As a young woman, she worked in the kitchen serving food and
washing up. On the weekends, her family had time to gather traditional foods and hunt. She married Tommy Dodd Pirrmiyarri Jampijina and
together they had three sons. She later married Victor Vincent Yingka
Nirlngayarri and had three more children. With her second husband,
Topsy worked at the Wave Hill Welfare Settlement (now Kalkaringi)
cooking for the school children. Later they moved to Jamangku (new
Wave Hill Station) where she continued her work as a cook and her
husband worked as a stockman. Today Topsy lives between Kalkaringi
and Pigeon Hole with her daughters and grandchildren. Topsy paints
her Dreaming, the lamawurt (witchetty grub) and makes kawarla
(coolamons), kurturu (nulla nullas) and kilkilpkaji (clap sticks). She has
also been heavily involved in Gurindji language and culture projects with
Felicity Meakins. Topsy is also a senior ceremony women who leads
yawulyu and jarrarta (women’s ceremonies).</t>
  </si>
  <si>
    <t>Penny Smith</t>
  </si>
  <si>
    <t>manyanyi</t>
  </si>
  <si>
    <t>Bush Vicks</t>
  </si>
  <si>
    <t>Blumea, Streptoglossa, Pterocaulon spp.</t>
  </si>
  <si>
    <t>Nyawa-ma-rnalu manana manyanyi tarukap-ku nyamu-lu karrinyana karu-walija ichy. An nyamu-lu karrinyana kulykulya-yawung ngurnalu manana nyawa na ngunayinangkulu tarukap yuwanana murlungku, nyawa manyanyi-ma.</t>
  </si>
  <si>
    <t>We get this manyanyi to wash the kids in when they are itching. Or if they are congested, we also pick manyanyi and bathe them in it.</t>
  </si>
  <si>
    <t>files/audio/sentences/1_manyanyi.mp3</t>
  </si>
  <si>
    <t>files/audio/sentences/2_kupuwupu.mp3</t>
  </si>
  <si>
    <t>Eulalia aurea, Cymbopogon procerus</t>
  </si>
  <si>
    <t>This lemon grass is used as a wash and it is also drinkable. You can drink lemon grass (as a tea). Lemon grass is good to bathe in when you are sick with a cough or a stuffed-up head. We put it in the bucket and boil it to bathe ourselves when we get sick.</t>
  </si>
  <si>
    <t>Tarukapkaji, kukijkarraaji, kupuwupu yuka, nyila na kukijkarra-wu-ma. Kupuwupu-ma nyila-ma janga-ngka-wu, kulyurrkapkaji-wu, kulykulya-wu, ngarlaka-wu nyampa-wu tarukap-ku. Ngurnalu yuwanana bucket-ta, boilim, janga-ngka-wu, tarukap-ku.</t>
  </si>
  <si>
    <t>kupuwupu</t>
  </si>
  <si>
    <t>Lemon Grass</t>
  </si>
  <si>
    <t>marlarn</t>
  </si>
  <si>
    <t>Red River Gum</t>
  </si>
  <si>
    <t xml:space="preserve">Nyawa marlarn, karu-walija-ma tarukap ngurnayinangulu murlangku na medicine-tu tarukap. Jangkakarni too. Ngurnalu waninyana nyamu-rnalu kulyukap karrinyana. Ngurnalu yuwanana bakit-ta boilim. Ngurnalu gon atsaid-jirri. Coolbalak karrinyana nyantu-rni. Taruk na ngurnalu yuwanana. Ngapuk-ma marlarn-parni, tarukap-ma. </t>
  </si>
  <si>
    <t xml:space="preserve">The leaves of red river gums make a good medicinal wash. We wash the kids in it, and adults too. We bathe in it when we have a cough. We put it in a bucket and boil it. Then we take it out and wait until it cools down. We cool down the medicinal wash.  We bathe in it then. It smell strong when you bathe in it. </t>
  </si>
  <si>
    <t>Eucalyptus camaldulensis</t>
  </si>
  <si>
    <t>Dodonaea polyzyga</t>
  </si>
  <si>
    <t>We also smoke people with yirrijkaji by putting the leaves on warm coals until it smokes. We use it for people with head sores, congestion or a headache. We also smoke kids with this kind of medicine when they have diarrhoea.</t>
  </si>
  <si>
    <t>Jangkakarni-wu-purrupurru ngurnayinangulu kamparnana murluny-jawung-kulu-ma yirrijkaji-yawung-kulu. Nyawa-ma yirrijkaji-ma kamparnup marntara-yawung-ku nyampa-wu, kulykulya-wu, ngarlaka-wu wankaj-ku kuyawu karu-purrupurru nyamu-lu-wa karrinyana ngajkula-yawung-ku jumpurn ngurnayinangulu kamparnana nyawa-yawung-kulu.</t>
  </si>
  <si>
    <t>No common name</t>
  </si>
  <si>
    <t>yirrijkaji</t>
  </si>
  <si>
    <t>lawa</t>
  </si>
  <si>
    <t>Lemon Wood</t>
  </si>
  <si>
    <t>Kuyuwarn-ku ngurnalu manana lawa-ma nyila-ma. Bujij ngurnalu manana karnti. Tajkarra ngurnalu panana. Wananga-la walyawalyak ngurnalu yuwanana. Ngajik ngurnalu karrwarnana. Janga-ngka-ma warrkuj ngurnalu manana. Kamparnana ngurnalu boilim. Tarukap ngurnalu yuwanana, we burn ‘em mijelp bushes-jawung-kulu na.</t>
  </si>
  <si>
    <t>Lawa is good for bones. We get the leafy branches. We pound it and put it in a bag. We keep it there for a while. When we’re sick, then we boil it. We bathe in it, and also put hot leaves on our skin.</t>
  </si>
  <si>
    <t>files/audio/sentences/5_lawa.mp3</t>
  </si>
  <si>
    <t>files/audio/sentences/4_yirrijkaji.mp3</t>
  </si>
  <si>
    <t>files/audio/sentences/3_marlarn.mp3</t>
  </si>
  <si>
    <t>files/audio/sentences/6_kirtparn.mp3</t>
  </si>
  <si>
    <t>Cucumis picrocarpus</t>
  </si>
  <si>
    <t>They used to pick bush cucumbers in the old days. They used to roll them to soften them. Then (poke it with a stick and drip it) in the eye - if a fly bit you, for example.</t>
  </si>
  <si>
    <t>Kamparrijang-kulu ngulu manani nyila-ma kirtparn-ma puntanup. Manani ngulu kuya. Kalypa ngulu yuwanani nyawa-ngka na ngapanyji-la na. Walngin-tu ngaja-ngku payawu.</t>
  </si>
  <si>
    <t>Bush Cucumber</t>
  </si>
  <si>
    <t>kirtparn</t>
  </si>
  <si>
    <t>partiki</t>
  </si>
  <si>
    <t>Nutwood</t>
  </si>
  <si>
    <t xml:space="preserve">Partiki nyawa, nyila jintapa-kari-ma, janga-yawung-ku-ma karlapa-wu-purrupurru. Karlapa-ma nyamu-lu karrinyana, ngurnayinangulu kamparnana kuyangku-ma. Wilyjirrij nyawa ngurla-nyanta yanana, nyila-ma karlapa-ma. Jik ngurla yanana jangkarni-ma. Kangarnta ngurnalu tal panana nyila-ma wurrkal-ma. Marntara-wu nyampa-wu karlapa-wu, janga-yawung-ku kuyany-ma im punyu. </t>
  </si>
  <si>
    <t>The bark from a young nut tree is another one which can be used (to treat) kids (or adults) with skins sores, scabies or boils. If they have boils, we bathe them and the pus comes out. A lot can come out. We call this green stuff the “mouth”. This kind of medicine is great for sores, boils, or any sort of skin condition.</t>
  </si>
  <si>
    <t>Terminalia arostrata</t>
  </si>
  <si>
    <t>files/audio/sentences/7_partiki.mp3</t>
  </si>
  <si>
    <t>Ocimum tenuiflorum</t>
  </si>
  <si>
    <t>We collect this tea when people are sick. We keep it in a bag until it dries out. Then we boil it. It’s for headaches and congestion.</t>
  </si>
  <si>
    <t xml:space="preserve">Janga-ngka-wu ngurnalu manana nyila-ma nalija-ma puntanup. Ngurnalu karrwarnana wananga-la wurruja-pirrji. Yirrap-kari-la-ma ngurnalu boilim kamparnana. Kulykulyu-wu ngarlaka-wu warrngun-ta-wu. </t>
  </si>
  <si>
    <t>Bush Tea Leaf</t>
  </si>
  <si>
    <t>pujtilip</t>
  </si>
  <si>
    <t>ngirirri</t>
  </si>
  <si>
    <t>Boomerang Tree</t>
  </si>
  <si>
    <t>Ngurna mani tamarra an ngirirri. Ngurna mani karu-wu yaluwu yapakayi-wu. Ngurna kamparni faya-ngku light ‘em ngurna mani. Warlu-ngku ngurna kamparni karu nyila. Ngurna kamparni landi tingarri parntawurru-ma. Ngurna kamparni tuturl na kalu-wu. Next time-ma im gon rarrarraj dat everyway kalu na, dat karu.</t>
  </si>
  <si>
    <t>I got some termite mound and dry wattle wood for the baby. I lit a fire, burnt it down (put water on it and crushed it up). I slathered the baby with the warm mixture. I applied it to his hips, knees and back. I treated him with it so he could walk. Next thing you know, he was running everywhere.</t>
  </si>
  <si>
    <t>Hakea arborescens</t>
  </si>
  <si>
    <t>files/audio/sentences/10_karnpirrkarnpirr.mp3</t>
  </si>
  <si>
    <t>Senna venusta</t>
  </si>
  <si>
    <t>This is karnpirrkarnpirr. We put it on people when they have sores. On their feet, lower leg, buttocks or wherever - we treat them with this kind of plant. We grind it on a rock and then dab it on them.</t>
  </si>
  <si>
    <t>karnpirrkarnpirr</t>
  </si>
  <si>
    <t>wariyili</t>
  </si>
  <si>
    <t>Senna sp.</t>
  </si>
  <si>
    <t>Nyila na wariyili im punyu nyila-ma. Boil ‘em-kula-ma im kuyany winkilying. Karu janga ngurnayinangulu yuwanana mantara-yawung. Nyamu-lu karrinyana ngarlaka-la maru-ngka nyampa-ka. Marntara yaluny-jawung-kulu-ma, punyu tarukap-ku-ma. Bush-medicine nyila-ma wariyili-ma.</t>
  </si>
  <si>
    <t>The wariyili tree has medicinal properties. When you boil it, the water goes red. We bathe children with it when they have skin sores or scabies on their heads or bottoms or anywhere. This type of plant is good for treating sores. It is a type of bush medicine.</t>
  </si>
  <si>
    <t>files/audio/sentences/11_wariyili.mp3</t>
  </si>
  <si>
    <t>Flueggea virosa</t>
  </si>
  <si>
    <t>You grate the (young) roots of the white currant to make a medicinal tea to treat coughs. You put gratings in a billycan and boil it until it goes red. The red liquid is used to treat coughs. We drink it when it gets cold. You can also mix it with tea.</t>
  </si>
  <si>
    <t xml:space="preserve">Nyawa ngurna manana wikwik, kumpulyu kukijkarra-wu. Kumpulyu-ma, janga-ngka-wu kulykulya-wu. Nyawa kartak-kula ngurna yuwanana kuya. Boil ‘em jiyarni ngu winkilying-pirrji, nyila-ma kumpulyu-ma. Ngurnalu yuwanana nyampayirla-la du nalija-la. Winkilying na ngu, nyila-ma kanyjurra, kulyurrkkaji-wu-ma, ngurnalu kukijkarra na, nyamu-wa karru jiwilying na. </t>
  </si>
  <si>
    <t>kumpulyu</t>
  </si>
  <si>
    <t>White Currant</t>
  </si>
  <si>
    <t>tirnung</t>
  </si>
  <si>
    <t>Bloodwood Sap</t>
  </si>
  <si>
    <t>Tirnung-ma nyila karnti-ka karrinyana bloodwood- ta. Kungulu-marraj nyila na ngurnalu manana warrkuj. Boilim ngurnalu kamparnana. Ngantipa-ma kukijkarra ngurnalu ngarnana. Tirnung-ma nyila-ma punyu jimirnkirt-ku-ma. Janga-ngka-wu mangarli-wu-ma nyampa-wu-ma. Janga nyamu-lu karrinyana kuliyan, nyila-ma-lu nyangana kuyany nyawa tirnung.</t>
  </si>
  <si>
    <t>This is a type of sap which can be found on bloodwood trees. We collect the sap that looks like blood. We boil it and drink it. Bloodwood sap is good for the kidneys. It also makes us feel better when we have a chest infection. If someone has cancer, they also drink a tea of the bloodwood sap.</t>
  </si>
  <si>
    <t>Corymbia bleeseri</t>
  </si>
  <si>
    <t>files/audio/sentences/14_tamarra.mp3</t>
  </si>
  <si>
    <t>No scientific name</t>
  </si>
  <si>
    <t>We cook the antbed, (put water on it) and then crush it. Then we dig a hole to put the kids in. We put the soft spinifex (or other types of medicine e.g. ngirirri) in. We lay the newborn babies down and we cover them with the antbed. The antbed makes them grow up strong. It makes their bodies strong so they will be able to sit up straight and  crawl. We also treat the fontelle by putting antbed on this part of the head.</t>
  </si>
  <si>
    <t>Ngurnayinangulu kamparnana tamarra-ma tajkarra ngurnalu panana. Tamarra-ma, ngurnayinangulu nakurr karan manana karu-wu-ma. Ngurnayinangulu yuwanana yuka warlaya yuka na kalypa. Karu-ma makin, ngurnayinangulu kamparnana tamarra-lu na. Jangkarnik jiyarnana yalungku-ma tamarra-lu-ma. Ngu puya jangkarni karru. Mingip yanku ngu. Parntawurru ngurnayinangulu kamparnana, ngulu lurlu karru. Ngurnayinangulu kamparnana na ngamany-ma kuya ngurnayinangulu yuwanana ngamany-ja tamarra-ma.</t>
  </si>
  <si>
    <t>Termite Mound or Antbed</t>
  </si>
  <si>
    <t>tamarra</t>
  </si>
  <si>
    <t>tuku</t>
  </si>
  <si>
    <t>Freshwater Mussels</t>
  </si>
  <si>
    <t>Turturl du ngulu kamparnani marlin-jawung-kulu na. Kumpu-ma nyila-ma-lu manani. Nyamu-lu manani pakara-yirri-ma, yingkalk-ma ngulu filimap yuwanani na kartak-kula. Ngulu-nyunu kunyjarnani den, water ‘em maitbi ngarlaka or mila wash ‘em kuyangku, or langa-ngka ngulu yuwanani nyamu-lu janga karrinyani.</t>
  </si>
  <si>
    <t>People used to roast mussels before wrapped in water weed. It made them the juices come out. When they took them out the fire, they would fill up a billycan with the juice.  Then they’d douse their heads and eyes. Or drip it in their ears, if they had an earache.</t>
  </si>
  <si>
    <t>Velesunio wilsonii</t>
  </si>
  <si>
    <t>Acacia holosericea</t>
  </si>
  <si>
    <t>Parrawi is used for soap. They used to rub the juicy soap pods into a lather. They would collect it and wash themselves using the soap pods.</t>
  </si>
  <si>
    <t>Nyumirli ngu nyila-ma parrawi-ma. Wilypu manani ngulu kuyangku-ma parrawi-ma nyila-ma. Ngamarlart-ku yaluwu-ma parrawi-wu-ma. Pirrkap manani ngulu. Tarukap ngulu waninyani parrawi-yawung.</t>
  </si>
  <si>
    <t>Soap tree</t>
  </si>
  <si>
    <t>parrawi</t>
  </si>
  <si>
    <t>#manyanyi</t>
  </si>
  <si>
    <t>#kupuwupu</t>
  </si>
  <si>
    <t>#yirrijkaji</t>
  </si>
  <si>
    <t>#marlarn</t>
  </si>
  <si>
    <t>#lawa</t>
  </si>
  <si>
    <t>#kirtparn</t>
  </si>
  <si>
    <t>#partiki</t>
  </si>
  <si>
    <t>#pujtilip</t>
  </si>
  <si>
    <t>#ngirirri</t>
  </si>
  <si>
    <t>#karnpirrkarnpirr</t>
  </si>
  <si>
    <t>#wariyili</t>
  </si>
  <si>
    <t>#kumpulyu</t>
  </si>
  <si>
    <t>#tirnung</t>
  </si>
  <si>
    <t>#tamarra</t>
  </si>
  <si>
    <t>#tuku</t>
  </si>
  <si>
    <t>#parrawi</t>
  </si>
  <si>
    <t xml:space="preserve">files/audio/sentences/12_kumpulyu.mp3 </t>
  </si>
  <si>
    <t>files/audio/sentences/13_tirnung.mp3</t>
  </si>
  <si>
    <t>files/audio/sentences/15_tuku.mp3</t>
  </si>
  <si>
    <t>files/audio/sentences/16_parrawi.mp3</t>
  </si>
  <si>
    <t>#ConnieNgarrmaya</t>
  </si>
  <si>
    <t>Connie Ngarmeiye Nangala was born in 1940 to Mary Jarrngali Nangari
and Joe Jumngayarri at Jinparrak (old Wave Hill Station) under a wanyarri
(bauhinia) and grew up at the station. She is Gurindji and Mudburra. Her
kaku (father’s father) country is Kunawa (Cattle Creek Station homestead
area) and her jawiji (mother’s father) country is Yarri. She worked in the
kitchen at Jinparrak and then worked at the police station compound at
Kalkaringi where she washed and ironed clothes and did cleaning. As a
young woman she was married to Clancy Parnkana, Dandy’s brother, and
they lived at the Wave Hill Police Station. After marrying Joe Mosquito
(aka Kevin Wara) she worked on her traditional country at Cattle Creek
Station as a cook and was employed to cook at an important horse
sale at Number 25 Bore. Later, she worked at Jamangku (new Wave Hill
Station) and Nicholson Station also as a camp cook. She adopted two
children and has six grandchildren through her adopted children. Connie
is an artist at the Karungkarni Art and Culture Aboriginal Corporation in
Kalkaringi and has worked with Felicity Meakins on language projects.
She paints bush tucker as well as her Dreamings: ngapa (rain) and
wampana (spectacled hare wallaby). Connie has also been involved in
Gurindji language and culture documentation over the years.</t>
  </si>
  <si>
    <t>Connie Ngarmeiye</t>
  </si>
  <si>
    <t>#KittyMintawurr</t>
  </si>
  <si>
    <t>Kitty Mintawurr</t>
  </si>
  <si>
    <t>Kitty Mintawurr Nanaku is the younger sister of Violet Wadrill</t>
  </si>
  <si>
    <t>files/audio/names/parrawi_VW.mp3</t>
  </si>
  <si>
    <t>files/audio/names/tuku_VW.mp3</t>
  </si>
  <si>
    <t>files/audio/names/tamarra_VW.mp3</t>
  </si>
  <si>
    <t>files/audio/names/tirnung_VW.mp3</t>
  </si>
  <si>
    <t>files/audio/names/kumpulyu_VW.mp3</t>
  </si>
  <si>
    <t>files/audio/names/ngirirri_VW.mp3</t>
  </si>
  <si>
    <t>files/audio/names/pujtilip_VW.mp3</t>
  </si>
  <si>
    <t>files/audio/names/partiki_VW.mp3</t>
  </si>
  <si>
    <t>files/audio/names/kirtparn_VW.mp3</t>
  </si>
  <si>
    <t>files/audio/names/lawa_VW.mp3</t>
  </si>
  <si>
    <t>files/audio/names/marlarn_VW.mp3</t>
  </si>
  <si>
    <t>files/audio/names/kupuwupu_VW.mp3</t>
  </si>
  <si>
    <t>files/audio/names/manyanyi_VW.mp3</t>
  </si>
  <si>
    <t>files/images/Latest2_DSC_5138-2.JPG</t>
  </si>
  <si>
    <t>Nicole Zicchino</t>
  </si>
  <si>
    <t>files/images/DSC_5102.jpg</t>
  </si>
  <si>
    <t>files/images/IMG_1313.jpg</t>
  </si>
  <si>
    <t>files/images/IMG_4833.jpg</t>
  </si>
  <si>
    <t>files/images/IMG_4836.jpg</t>
  </si>
  <si>
    <t>files/images/IMG_5016.jpg</t>
  </si>
  <si>
    <t>files/images/IMG_4711.jpg</t>
  </si>
  <si>
    <t>files/images/DSC00117.jpg</t>
  </si>
  <si>
    <t>files/images/DSC00109.jpg</t>
  </si>
  <si>
    <t>Felicity Meakins</t>
  </si>
  <si>
    <t>files/images/IMGP3029.jpeg</t>
  </si>
  <si>
    <t>Peggy Macqueen</t>
  </si>
  <si>
    <t>files/images/kumpulyu.jpg</t>
  </si>
  <si>
    <t>files/images/BushMedicine_tirnung_CA_5019.jpg</t>
  </si>
  <si>
    <t>files/images/cassie-mound.jpeg</t>
  </si>
  <si>
    <t>Briony Barr</t>
  </si>
  <si>
    <t>files/images/Rangers.jpg</t>
  </si>
  <si>
    <t>files/images/pujtiplip.jpg</t>
  </si>
  <si>
    <t>https://www.ictv.com.au/video/5013-kumpulyu-white-currant</t>
  </si>
  <si>
    <t>https://www.ictv.com.au/video/5010-gurindji-bush-medicine</t>
  </si>
  <si>
    <t>https://www.ictv.com.au/video/5007-karu-kamparnup-treating-babies-with-antbed</t>
  </si>
  <si>
    <t>custom:photographerName</t>
  </si>
  <si>
    <t>custom:video_link</t>
  </si>
  <si>
    <t>arcp://name,custom/terms#photographerName</t>
  </si>
  <si>
    <t>photographerName</t>
  </si>
  <si>
    <t>the name of the photograpger for the associated image</t>
  </si>
  <si>
    <t>arcp://name,custom/terms#videoLink</t>
  </si>
  <si>
    <t>videoLink</t>
  </si>
  <si>
    <t>link to a video</t>
  </si>
  <si>
    <t>arcp://name,custom/terms#speaker</t>
  </si>
  <si>
    <t>speaker</t>
  </si>
  <si>
    <t>the speaker associated with this entry</t>
  </si>
  <si>
    <t>Person</t>
  </si>
  <si>
    <t>about/speaker-headshots/VioletWadrill.jpg</t>
  </si>
  <si>
    <t>about/speaker-headshots/BiddyWavehill.jpg</t>
  </si>
  <si>
    <t>about/speaker-headshots/TopsyDodd.jpg</t>
  </si>
  <si>
    <t>isRef_custom:speaker</t>
  </si>
  <si>
    <t>Bush Medicine</t>
  </si>
  <si>
    <t>Gurindji bush medicine</t>
  </si>
  <si>
    <t>files/images/parrawi.jpg</t>
  </si>
  <si>
    <t>Nyawa-ma karnpirrkarnpirr. Ngurnayinangulu yuwanana marntara-wu, nyamu-lu janga-ma karrwarnana. Kuyangka-ma nyarruluny-ja-ma jamana-la nyampa-ka wulu-ngka-ma maru-ngka-ma - murluny-jawung-kulu ngurnayinangulu kamparnana. Ngurnalu kutukutu yuwanana wumara-la-ma kuya. An ngurnayinangulu-rla palyangkarra na yuwanana na palyangpalyang.</t>
  </si>
  <si>
    <t>files/audio/sentences/9_ngirirri.mp3</t>
  </si>
  <si>
    <t>about/speaker-headshots/ConnieNgarmeiye.jpg</t>
  </si>
  <si>
    <t>about/speaker-headshots/kitty.jpg</t>
  </si>
  <si>
    <t>files/audio/sentences/8_pujtilip.mp3</t>
  </si>
  <si>
    <t>files/audio/names/karnpirrkarnpirr_VW.mp3</t>
  </si>
  <si>
    <t>files/audio/names/wariyili_VW.mp3</t>
  </si>
  <si>
    <t>files/audio/names/yirrijkaji_VW.mp3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</si>
</sst>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0" borderId="0" xfId="0" applyAlignment="1">
      <alignment wrapText="1"/>
    </xf>
    <xf numFmtId="0" fontId="2" fillId="0" borderId="0" xfId="0" applyFont="1" applyAlignment="1">
      <alignment vertical="center" wrapText="1"/>
    </xf>
    <xf numFmtId="0" fontId="3" fillId="0" borderId="0" xfId="1" applyAlignment="1">
      <alignment vertical="center" wrapText="1"/>
    </xf>
    <xf numFmtId="0" fontId="4" fillId="0" borderId="0" xfId="0" applyFont="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ictv.com.au/video/5010-gurindji-bush-medicine" TargetMode="External"/><Relationship Id="rId2" Type="http://schemas.openxmlformats.org/officeDocument/2006/relationships/hyperlink" Target="https://www.ictv.com.au/video/5010-gurindji-bush-medicine" TargetMode="External"/><Relationship Id="rId1" Type="http://schemas.openxmlformats.org/officeDocument/2006/relationships/hyperlink" Target="https://www.ictv.com.au/video/5013-kumpulyu-white-currant" TargetMode="External"/><Relationship Id="rId6" Type="http://schemas.openxmlformats.org/officeDocument/2006/relationships/hyperlink" Target="https://www.ictv.com.au/video/5007-karu-kamparnup-treating-babies-with-antbed" TargetMode="External"/><Relationship Id="rId5" Type="http://schemas.openxmlformats.org/officeDocument/2006/relationships/hyperlink" Target="https://www.ictv.com.au/video/5010-gurindji-bush-medicine" TargetMode="External"/><Relationship Id="rId4" Type="http://schemas.openxmlformats.org/officeDocument/2006/relationships/hyperlink" Target="https://www.ictv.com.au/video/5010-gurindji-bush-medic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6" sqref="B6"/>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232</v>
      </c>
    </row>
    <row r="5" spans="1:2" x14ac:dyDescent="0.2">
      <c r="A5" t="s">
        <v>6</v>
      </c>
      <c r="B5" t="s">
        <v>233</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
  <sheetViews>
    <sheetView topLeftCell="A15" zoomScale="97" zoomScaleNormal="97" workbookViewId="0">
      <pane xSplit="3" topLeftCell="J1" activePane="topRight" state="frozen"/>
      <selection pane="topRight" activeCell="N17" sqref="N17"/>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6" width="30.6640625" style="3" customWidth="1"/>
    <col min="17" max="17" width="34.5" style="3" customWidth="1"/>
    <col min="18" max="16384" width="8.83203125" style="3"/>
  </cols>
  <sheetData>
    <row r="1" spans="1:17" ht="48" x14ac:dyDescent="0.2">
      <c r="A1" s="4" t="s">
        <v>2</v>
      </c>
      <c r="B1" s="2" t="s">
        <v>4</v>
      </c>
      <c r="C1" s="2" t="s">
        <v>0</v>
      </c>
      <c r="D1" s="2" t="s">
        <v>57</v>
      </c>
      <c r="E1" s="2" t="s">
        <v>13</v>
      </c>
      <c r="F1" s="2" t="s">
        <v>231</v>
      </c>
      <c r="G1" s="2" t="s">
        <v>14</v>
      </c>
      <c r="H1" s="2" t="s">
        <v>15</v>
      </c>
      <c r="I1" s="2" t="s">
        <v>16</v>
      </c>
      <c r="J1" s="2" t="s">
        <v>17</v>
      </c>
      <c r="K1" s="2" t="s">
        <v>18</v>
      </c>
      <c r="L1" s="2" t="s">
        <v>216</v>
      </c>
      <c r="M1" s="2" t="s">
        <v>19</v>
      </c>
      <c r="N1" s="2" t="s">
        <v>20</v>
      </c>
      <c r="O1" s="2" t="s">
        <v>21</v>
      </c>
      <c r="P1" s="2" t="s">
        <v>22</v>
      </c>
      <c r="Q1" s="7" t="s">
        <v>217</v>
      </c>
    </row>
    <row r="2" spans="1:17" ht="112" x14ac:dyDescent="0.2">
      <c r="A2" s="5" t="str">
        <f t="shared" ref="A2:A17" si="0">_xlfn.CONCAT("#", C2)</f>
        <v>#manyanyi</v>
      </c>
      <c r="B2" s="3" t="s">
        <v>23</v>
      </c>
      <c r="C2" s="3" t="s">
        <v>69</v>
      </c>
      <c r="E2" s="3" t="s">
        <v>3</v>
      </c>
      <c r="F2" s="3" t="s">
        <v>62</v>
      </c>
      <c r="G2" s="3" t="s">
        <v>24</v>
      </c>
      <c r="H2" s="3" t="s">
        <v>25</v>
      </c>
      <c r="I2" s="3" t="s">
        <v>70</v>
      </c>
      <c r="J2" s="3" t="s">
        <v>72</v>
      </c>
      <c r="K2" s="3" t="s">
        <v>73</v>
      </c>
      <c r="L2" s="3" t="s">
        <v>195</v>
      </c>
      <c r="M2" s="3" t="s">
        <v>71</v>
      </c>
      <c r="N2" s="3" t="s">
        <v>194</v>
      </c>
      <c r="O2" s="3" t="s">
        <v>193</v>
      </c>
      <c r="P2" s="3" t="s">
        <v>74</v>
      </c>
    </row>
    <row r="3" spans="1:17" ht="112" x14ac:dyDescent="0.2">
      <c r="A3" s="5" t="str">
        <f t="shared" si="0"/>
        <v>#kupuwupu</v>
      </c>
      <c r="B3" s="3" t="s">
        <v>23</v>
      </c>
      <c r="C3" s="3" t="s">
        <v>79</v>
      </c>
      <c r="E3" s="3" t="s">
        <v>3</v>
      </c>
      <c r="F3" s="3" t="s">
        <v>58</v>
      </c>
      <c r="G3" s="3" t="s">
        <v>24</v>
      </c>
      <c r="H3" s="3" t="s">
        <v>25</v>
      </c>
      <c r="I3" s="3" t="s">
        <v>80</v>
      </c>
      <c r="J3" s="3" t="s">
        <v>78</v>
      </c>
      <c r="K3" s="3" t="s">
        <v>77</v>
      </c>
      <c r="L3" s="3" t="s">
        <v>195</v>
      </c>
      <c r="M3" s="3" t="s">
        <v>76</v>
      </c>
      <c r="N3" s="3" t="s">
        <v>196</v>
      </c>
      <c r="O3" s="3" t="s">
        <v>192</v>
      </c>
      <c r="P3" s="3" t="s">
        <v>75</v>
      </c>
      <c r="Q3" s="8" t="s">
        <v>214</v>
      </c>
    </row>
    <row r="4" spans="1:17" ht="160" x14ac:dyDescent="0.2">
      <c r="A4" s="5" t="str">
        <f t="shared" si="0"/>
        <v>#marlarn</v>
      </c>
      <c r="B4" s="3" t="s">
        <v>23</v>
      </c>
      <c r="C4" s="3" t="s">
        <v>81</v>
      </c>
      <c r="E4" s="3" t="s">
        <v>3</v>
      </c>
      <c r="F4" s="3" t="s">
        <v>178</v>
      </c>
      <c r="G4" s="3" t="s">
        <v>24</v>
      </c>
      <c r="H4" s="3" t="s">
        <v>25</v>
      </c>
      <c r="I4" s="3" t="s">
        <v>82</v>
      </c>
      <c r="J4" s="3" t="s">
        <v>83</v>
      </c>
      <c r="K4" s="3" t="s">
        <v>84</v>
      </c>
      <c r="L4" s="3" t="s">
        <v>68</v>
      </c>
      <c r="M4" s="3" t="s">
        <v>85</v>
      </c>
      <c r="N4" s="3" t="s">
        <v>197</v>
      </c>
      <c r="O4" s="3" t="s">
        <v>191</v>
      </c>
      <c r="P4" s="3" t="s">
        <v>97</v>
      </c>
    </row>
    <row r="5" spans="1:17" ht="176" x14ac:dyDescent="0.2">
      <c r="A5" s="5" t="str">
        <f t="shared" si="0"/>
        <v>#yirrijkaji</v>
      </c>
      <c r="B5" s="3" t="s">
        <v>23</v>
      </c>
      <c r="C5" s="3" t="s">
        <v>90</v>
      </c>
      <c r="E5" s="3" t="s">
        <v>3</v>
      </c>
      <c r="F5" s="3" t="s">
        <v>58</v>
      </c>
      <c r="G5" s="3" t="s">
        <v>24</v>
      </c>
      <c r="H5" s="3" t="s">
        <v>25</v>
      </c>
      <c r="I5" s="3" t="s">
        <v>89</v>
      </c>
      <c r="J5" s="3" t="s">
        <v>88</v>
      </c>
      <c r="K5" s="3" t="s">
        <v>87</v>
      </c>
      <c r="L5" s="3" t="s">
        <v>68</v>
      </c>
      <c r="M5" s="3" t="s">
        <v>86</v>
      </c>
      <c r="N5" s="3" t="s">
        <v>198</v>
      </c>
      <c r="O5" s="3" t="s">
        <v>242</v>
      </c>
      <c r="P5" s="3" t="s">
        <v>96</v>
      </c>
      <c r="Q5" s="8" t="s">
        <v>214</v>
      </c>
    </row>
    <row r="6" spans="1:17" ht="160" x14ac:dyDescent="0.2">
      <c r="A6" s="5" t="str">
        <f t="shared" si="0"/>
        <v>#lawa</v>
      </c>
      <c r="B6" s="3" t="s">
        <v>23</v>
      </c>
      <c r="C6" s="3" t="s">
        <v>91</v>
      </c>
      <c r="E6" s="3" t="s">
        <v>3</v>
      </c>
      <c r="F6" s="3" t="s">
        <v>58</v>
      </c>
      <c r="G6" s="3" t="s">
        <v>24</v>
      </c>
      <c r="H6" s="3" t="s">
        <v>25</v>
      </c>
      <c r="I6" s="3" t="s">
        <v>92</v>
      </c>
      <c r="J6" s="3" t="s">
        <v>93</v>
      </c>
      <c r="K6" s="3" t="s">
        <v>94</v>
      </c>
      <c r="L6" s="3" t="s">
        <v>68</v>
      </c>
      <c r="M6" s="3" t="s">
        <v>60</v>
      </c>
      <c r="N6" s="3" t="s">
        <v>199</v>
      </c>
      <c r="O6" s="3" t="s">
        <v>190</v>
      </c>
      <c r="P6" s="3" t="s">
        <v>95</v>
      </c>
      <c r="Q6" s="8" t="s">
        <v>214</v>
      </c>
    </row>
    <row r="7" spans="1:17" ht="80" x14ac:dyDescent="0.2">
      <c r="A7" s="5" t="str">
        <f t="shared" si="0"/>
        <v>#kirtparn</v>
      </c>
      <c r="B7" s="3" t="s">
        <v>23</v>
      </c>
      <c r="C7" s="3" t="s">
        <v>103</v>
      </c>
      <c r="E7" s="3" t="s">
        <v>3</v>
      </c>
      <c r="F7" s="3" t="s">
        <v>58</v>
      </c>
      <c r="G7" s="3" t="s">
        <v>24</v>
      </c>
      <c r="H7" s="3" t="s">
        <v>25</v>
      </c>
      <c r="I7" s="3" t="s">
        <v>102</v>
      </c>
      <c r="J7" s="3" t="s">
        <v>101</v>
      </c>
      <c r="K7" s="3" t="s">
        <v>100</v>
      </c>
      <c r="L7" s="3" t="s">
        <v>68</v>
      </c>
      <c r="M7" s="3" t="s">
        <v>99</v>
      </c>
      <c r="N7" s="3" t="s">
        <v>200</v>
      </c>
      <c r="O7" s="3" t="s">
        <v>189</v>
      </c>
      <c r="P7" s="3" t="s">
        <v>98</v>
      </c>
    </row>
    <row r="8" spans="1:17" ht="192" x14ac:dyDescent="0.2">
      <c r="A8" s="5" t="str">
        <f t="shared" si="0"/>
        <v>#partiki</v>
      </c>
      <c r="B8" s="3" t="s">
        <v>23</v>
      </c>
      <c r="C8" s="3" t="s">
        <v>104</v>
      </c>
      <c r="E8" s="3" t="s">
        <v>3</v>
      </c>
      <c r="F8" s="3" t="s">
        <v>58</v>
      </c>
      <c r="G8" s="3" t="s">
        <v>24</v>
      </c>
      <c r="H8" s="3" t="s">
        <v>25</v>
      </c>
      <c r="I8" s="3" t="s">
        <v>105</v>
      </c>
      <c r="J8" s="3" t="s">
        <v>106</v>
      </c>
      <c r="K8" s="3" t="s">
        <v>107</v>
      </c>
      <c r="L8" s="3" t="s">
        <v>68</v>
      </c>
      <c r="M8" s="3" t="s">
        <v>108</v>
      </c>
      <c r="N8" s="3" t="s">
        <v>211</v>
      </c>
      <c r="O8" s="3" t="s">
        <v>188</v>
      </c>
      <c r="P8" s="3" t="s">
        <v>109</v>
      </c>
    </row>
    <row r="9" spans="1:17" ht="112" x14ac:dyDescent="0.2">
      <c r="A9" s="5" t="str">
        <f t="shared" si="0"/>
        <v>#pujtilip</v>
      </c>
      <c r="B9" s="3" t="s">
        <v>23</v>
      </c>
      <c r="C9" s="3" t="s">
        <v>114</v>
      </c>
      <c r="E9" s="3" t="s">
        <v>3</v>
      </c>
      <c r="F9" s="3" t="s">
        <v>58</v>
      </c>
      <c r="G9" s="3" t="s">
        <v>24</v>
      </c>
      <c r="H9" s="3" t="s">
        <v>25</v>
      </c>
      <c r="I9" s="3" t="s">
        <v>113</v>
      </c>
      <c r="J9" s="3" t="s">
        <v>112</v>
      </c>
      <c r="K9" s="3" t="s">
        <v>111</v>
      </c>
      <c r="L9" s="3" t="s">
        <v>68</v>
      </c>
      <c r="M9" s="3" t="s">
        <v>110</v>
      </c>
      <c r="N9" s="3" t="s">
        <v>212</v>
      </c>
      <c r="O9" s="3" t="s">
        <v>187</v>
      </c>
      <c r="P9" s="3" t="s">
        <v>239</v>
      </c>
      <c r="Q9" s="8" t="s">
        <v>214</v>
      </c>
    </row>
    <row r="10" spans="1:17" ht="160" x14ac:dyDescent="0.2">
      <c r="A10" s="5" t="str">
        <f t="shared" si="0"/>
        <v>#ngirirri</v>
      </c>
      <c r="B10" s="3" t="s">
        <v>23</v>
      </c>
      <c r="C10" s="3" t="s">
        <v>115</v>
      </c>
      <c r="E10" s="3" t="s">
        <v>3</v>
      </c>
      <c r="F10" s="3" t="s">
        <v>175</v>
      </c>
      <c r="G10" s="3" t="s">
        <v>24</v>
      </c>
      <c r="H10" s="3" t="s">
        <v>25</v>
      </c>
      <c r="I10" s="3" t="s">
        <v>116</v>
      </c>
      <c r="J10" s="3" t="s">
        <v>117</v>
      </c>
      <c r="K10" s="3" t="s">
        <v>118</v>
      </c>
      <c r="L10" s="3" t="s">
        <v>68</v>
      </c>
      <c r="M10" s="3" t="s">
        <v>119</v>
      </c>
      <c r="N10" s="3" t="s">
        <v>201</v>
      </c>
      <c r="O10" s="3" t="s">
        <v>186</v>
      </c>
      <c r="P10" s="3" t="s">
        <v>236</v>
      </c>
    </row>
    <row r="11" spans="1:17" ht="176" x14ac:dyDescent="0.2">
      <c r="A11" s="5" t="str">
        <f t="shared" si="0"/>
        <v>#karnpirrkarnpirr</v>
      </c>
      <c r="B11" s="3" t="s">
        <v>23</v>
      </c>
      <c r="C11" s="3" t="s">
        <v>123</v>
      </c>
      <c r="E11" s="3" t="s">
        <v>3</v>
      </c>
      <c r="F11" s="3" t="s">
        <v>58</v>
      </c>
      <c r="G11" s="3" t="s">
        <v>24</v>
      </c>
      <c r="H11" s="3" t="s">
        <v>25</v>
      </c>
      <c r="I11" s="3" t="s">
        <v>89</v>
      </c>
      <c r="J11" s="3" t="s">
        <v>235</v>
      </c>
      <c r="K11" s="3" t="s">
        <v>122</v>
      </c>
      <c r="L11" s="3" t="s">
        <v>206</v>
      </c>
      <c r="M11" s="3" t="s">
        <v>121</v>
      </c>
      <c r="N11" s="3" t="s">
        <v>205</v>
      </c>
      <c r="O11" s="3" t="s">
        <v>240</v>
      </c>
      <c r="P11" s="3" t="s">
        <v>120</v>
      </c>
    </row>
    <row r="12" spans="1:17" ht="144" x14ac:dyDescent="0.2">
      <c r="A12" s="5" t="str">
        <f t="shared" si="0"/>
        <v>#wariyili</v>
      </c>
      <c r="B12" s="3" t="s">
        <v>23</v>
      </c>
      <c r="C12" s="3" t="s">
        <v>124</v>
      </c>
      <c r="E12" s="3" t="s">
        <v>3</v>
      </c>
      <c r="F12" s="3" t="s">
        <v>58</v>
      </c>
      <c r="G12" s="3" t="s">
        <v>24</v>
      </c>
      <c r="H12" s="3" t="s">
        <v>25</v>
      </c>
      <c r="I12" s="3" t="s">
        <v>89</v>
      </c>
      <c r="J12" s="3" t="s">
        <v>126</v>
      </c>
      <c r="K12" s="3" t="s">
        <v>127</v>
      </c>
      <c r="L12" s="3" t="s">
        <v>204</v>
      </c>
      <c r="M12" s="3" t="s">
        <v>125</v>
      </c>
      <c r="N12" s="3" t="s">
        <v>202</v>
      </c>
      <c r="O12" s="3" t="s">
        <v>241</v>
      </c>
      <c r="P12" s="3" t="s">
        <v>128</v>
      </c>
    </row>
    <row r="13" spans="1:17" ht="176" x14ac:dyDescent="0.2">
      <c r="A13" s="5" t="str">
        <f t="shared" si="0"/>
        <v>#kumpulyu</v>
      </c>
      <c r="B13" s="3" t="s">
        <v>23</v>
      </c>
      <c r="C13" s="3" t="s">
        <v>132</v>
      </c>
      <c r="E13" s="3" t="s">
        <v>3</v>
      </c>
      <c r="F13" s="3" t="s">
        <v>58</v>
      </c>
      <c r="G13" s="3" t="s">
        <v>24</v>
      </c>
      <c r="H13" s="3" t="s">
        <v>25</v>
      </c>
      <c r="I13" s="3" t="s">
        <v>133</v>
      </c>
      <c r="J13" s="3" t="s">
        <v>131</v>
      </c>
      <c r="K13" s="3" t="s">
        <v>130</v>
      </c>
      <c r="L13" s="3" t="s">
        <v>204</v>
      </c>
      <c r="M13" s="3" t="s">
        <v>129</v>
      </c>
      <c r="N13" s="3" t="s">
        <v>207</v>
      </c>
      <c r="O13" s="3" t="s">
        <v>185</v>
      </c>
      <c r="P13" s="3" t="s">
        <v>171</v>
      </c>
      <c r="Q13" s="8" t="s">
        <v>213</v>
      </c>
    </row>
    <row r="14" spans="1:17" ht="160" x14ac:dyDescent="0.2">
      <c r="A14" s="5" t="str">
        <f t="shared" si="0"/>
        <v>#tirnung</v>
      </c>
      <c r="B14" s="3" t="s">
        <v>23</v>
      </c>
      <c r="C14" s="3" t="s">
        <v>134</v>
      </c>
      <c r="E14" s="3" t="s">
        <v>3</v>
      </c>
      <c r="F14" s="3" t="s">
        <v>58</v>
      </c>
      <c r="G14" s="3" t="s">
        <v>24</v>
      </c>
      <c r="H14" s="3" t="s">
        <v>25</v>
      </c>
      <c r="I14" s="3" t="s">
        <v>135</v>
      </c>
      <c r="J14" s="3" t="s">
        <v>136</v>
      </c>
      <c r="K14" s="3" t="s">
        <v>137</v>
      </c>
      <c r="L14" s="3" t="s">
        <v>68</v>
      </c>
      <c r="M14" s="3" t="s">
        <v>138</v>
      </c>
      <c r="N14" s="3" t="s">
        <v>208</v>
      </c>
      <c r="O14" s="3" t="s">
        <v>184</v>
      </c>
      <c r="P14" s="3" t="s">
        <v>172</v>
      </c>
    </row>
    <row r="15" spans="1:17" ht="256" x14ac:dyDescent="0.2">
      <c r="A15" s="5" t="str">
        <f t="shared" si="0"/>
        <v>#tamarra</v>
      </c>
      <c r="B15" s="3" t="s">
        <v>23</v>
      </c>
      <c r="C15" s="3" t="s">
        <v>144</v>
      </c>
      <c r="E15" s="3" t="s">
        <v>3</v>
      </c>
      <c r="F15" s="3" t="s">
        <v>58</v>
      </c>
      <c r="G15" s="3" t="s">
        <v>24</v>
      </c>
      <c r="H15" s="3" t="s">
        <v>25</v>
      </c>
      <c r="I15" s="3" t="s">
        <v>143</v>
      </c>
      <c r="J15" s="3" t="s">
        <v>142</v>
      </c>
      <c r="K15" s="3" t="s">
        <v>141</v>
      </c>
      <c r="L15" s="3" t="s">
        <v>210</v>
      </c>
      <c r="M15" s="3" t="s">
        <v>140</v>
      </c>
      <c r="N15" s="3" t="s">
        <v>209</v>
      </c>
      <c r="O15" s="3" t="s">
        <v>183</v>
      </c>
      <c r="P15" s="3" t="s">
        <v>139</v>
      </c>
      <c r="Q15" s="8" t="s">
        <v>215</v>
      </c>
    </row>
    <row r="16" spans="1:17" ht="144" x14ac:dyDescent="0.2">
      <c r="A16" s="5" t="str">
        <f t="shared" si="0"/>
        <v>#tuku</v>
      </c>
      <c r="B16" s="3" t="s">
        <v>23</v>
      </c>
      <c r="C16" s="3" t="s">
        <v>145</v>
      </c>
      <c r="E16" s="3" t="s">
        <v>3</v>
      </c>
      <c r="F16" s="3" t="s">
        <v>58</v>
      </c>
      <c r="G16" s="3" t="s">
        <v>24</v>
      </c>
      <c r="H16" s="3" t="s">
        <v>25</v>
      </c>
      <c r="I16" s="3" t="s">
        <v>146</v>
      </c>
      <c r="J16" s="3" t="s">
        <v>147</v>
      </c>
      <c r="K16" s="3" t="s">
        <v>148</v>
      </c>
      <c r="L16" s="3" t="s">
        <v>204</v>
      </c>
      <c r="M16" s="3" t="s">
        <v>149</v>
      </c>
      <c r="N16" s="3" t="s">
        <v>203</v>
      </c>
      <c r="O16" s="3" t="s">
        <v>182</v>
      </c>
      <c r="P16" s="3" t="s">
        <v>173</v>
      </c>
    </row>
    <row r="17" spans="1:16" ht="96" x14ac:dyDescent="0.2">
      <c r="A17" s="5" t="str">
        <f t="shared" si="0"/>
        <v>#parrawi</v>
      </c>
      <c r="B17" s="3" t="s">
        <v>23</v>
      </c>
      <c r="C17" s="3" t="s">
        <v>154</v>
      </c>
      <c r="E17" s="3" t="s">
        <v>3</v>
      </c>
      <c r="F17" s="3" t="s">
        <v>58</v>
      </c>
      <c r="G17" s="3" t="s">
        <v>24</v>
      </c>
      <c r="H17" s="3" t="s">
        <v>25</v>
      </c>
      <c r="I17" s="3" t="s">
        <v>153</v>
      </c>
      <c r="J17" s="3" t="s">
        <v>152</v>
      </c>
      <c r="K17" s="3" t="s">
        <v>151</v>
      </c>
      <c r="L17" s="3" t="s">
        <v>68</v>
      </c>
      <c r="M17" s="3" t="s">
        <v>150</v>
      </c>
      <c r="N17" s="3" t="s">
        <v>234</v>
      </c>
      <c r="O17" s="3" t="s">
        <v>181</v>
      </c>
      <c r="P17" s="3" t="s">
        <v>174</v>
      </c>
    </row>
  </sheetData>
  <hyperlinks>
    <hyperlink ref="Q13" r:id="rId1" xr:uid="{DC317BFC-2900-1E4A-8B97-CF407B5C8B12}"/>
    <hyperlink ref="Q5" r:id="rId2" xr:uid="{28F1A117-7581-B143-B8D1-9B016A9EE078}"/>
    <hyperlink ref="Q9" r:id="rId3" xr:uid="{BDCB9E77-118F-B145-8DCE-F491631047B1}"/>
    <hyperlink ref="Q6" r:id="rId4" xr:uid="{50C1E163-2E98-F448-8121-9D9BD9BC35E7}"/>
    <hyperlink ref="Q3" r:id="rId5" xr:uid="{6B499121-94E3-B648-87F2-208849C12D4A}"/>
    <hyperlink ref="Q15" r:id="rId6" xr:uid="{6DC485E7-677A-E64F-A060-72E420EF0176}"/>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2"/>
  <sheetViews>
    <sheetView tabSelected="1" topLeftCell="A33" zoomScale="140" zoomScaleNormal="140" workbookViewId="0">
      <selection activeCell="A54" sqref="A54"/>
    </sheetView>
  </sheetViews>
  <sheetFormatPr baseColWidth="10" defaultColWidth="8.83203125" defaultRowHeight="15" x14ac:dyDescent="0.2"/>
  <cols>
    <col min="1" max="1" width="69" customWidth="1"/>
    <col min="3" max="3" width="63.1640625" customWidth="1"/>
    <col min="4" max="4" width="45.5" customWidth="1"/>
  </cols>
  <sheetData>
    <row r="1" spans="1:4" x14ac:dyDescent="0.2">
      <c r="A1" s="1" t="s">
        <v>2</v>
      </c>
      <c r="B1" s="1" t="s">
        <v>4</v>
      </c>
      <c r="C1" s="1" t="s">
        <v>26</v>
      </c>
      <c r="D1" s="1"/>
    </row>
    <row r="2" spans="1:4" ht="16" x14ac:dyDescent="0.2">
      <c r="A2" s="3" t="s">
        <v>194</v>
      </c>
      <c r="B2" t="s">
        <v>27</v>
      </c>
      <c r="C2" s="3" t="s">
        <v>155</v>
      </c>
    </row>
    <row r="3" spans="1:4" ht="16" x14ac:dyDescent="0.2">
      <c r="A3" s="3" t="s">
        <v>193</v>
      </c>
      <c r="B3" t="s">
        <v>27</v>
      </c>
      <c r="C3" s="3" t="s">
        <v>155</v>
      </c>
    </row>
    <row r="4" spans="1:4" ht="16" x14ac:dyDescent="0.2">
      <c r="A4" s="3" t="s">
        <v>74</v>
      </c>
      <c r="B4" t="s">
        <v>27</v>
      </c>
      <c r="C4" s="3" t="s">
        <v>155</v>
      </c>
    </row>
    <row r="5" spans="1:4" ht="16" x14ac:dyDescent="0.2">
      <c r="A5" s="3" t="s">
        <v>196</v>
      </c>
      <c r="B5" t="s">
        <v>27</v>
      </c>
      <c r="C5" s="3" t="s">
        <v>156</v>
      </c>
    </row>
    <row r="6" spans="1:4" ht="16" x14ac:dyDescent="0.2">
      <c r="A6" s="3" t="s">
        <v>192</v>
      </c>
      <c r="B6" t="s">
        <v>27</v>
      </c>
      <c r="C6" s="3" t="s">
        <v>156</v>
      </c>
    </row>
    <row r="7" spans="1:4" ht="16" x14ac:dyDescent="0.2">
      <c r="A7" s="3" t="s">
        <v>75</v>
      </c>
      <c r="B7" t="s">
        <v>27</v>
      </c>
      <c r="C7" s="3" t="s">
        <v>156</v>
      </c>
    </row>
    <row r="8" spans="1:4" ht="16" x14ac:dyDescent="0.2">
      <c r="A8" s="3" t="s">
        <v>197</v>
      </c>
      <c r="B8" t="s">
        <v>27</v>
      </c>
      <c r="C8" s="3" t="s">
        <v>158</v>
      </c>
    </row>
    <row r="9" spans="1:4" ht="16" x14ac:dyDescent="0.2">
      <c r="A9" s="3" t="s">
        <v>191</v>
      </c>
      <c r="B9" t="s">
        <v>27</v>
      </c>
      <c r="C9" s="3" t="s">
        <v>158</v>
      </c>
    </row>
    <row r="10" spans="1:4" ht="16" x14ac:dyDescent="0.2">
      <c r="A10" s="3" t="s">
        <v>97</v>
      </c>
      <c r="B10" t="s">
        <v>27</v>
      </c>
      <c r="C10" s="3" t="s">
        <v>158</v>
      </c>
    </row>
    <row r="11" spans="1:4" ht="16" x14ac:dyDescent="0.2">
      <c r="A11" s="3" t="s">
        <v>198</v>
      </c>
      <c r="B11" t="s">
        <v>27</v>
      </c>
      <c r="C11" s="3" t="s">
        <v>157</v>
      </c>
    </row>
    <row r="12" spans="1:4" ht="16" x14ac:dyDescent="0.2">
      <c r="A12" s="3" t="s">
        <v>242</v>
      </c>
      <c r="B12" t="s">
        <v>27</v>
      </c>
      <c r="C12" s="3" t="s">
        <v>157</v>
      </c>
    </row>
    <row r="13" spans="1:4" ht="16" x14ac:dyDescent="0.2">
      <c r="A13" s="3" t="s">
        <v>96</v>
      </c>
      <c r="B13" t="s">
        <v>27</v>
      </c>
      <c r="C13" s="3" t="s">
        <v>157</v>
      </c>
    </row>
    <row r="14" spans="1:4" ht="16" x14ac:dyDescent="0.2">
      <c r="A14" s="3" t="s">
        <v>199</v>
      </c>
      <c r="B14" t="s">
        <v>27</v>
      </c>
      <c r="C14" s="3" t="s">
        <v>159</v>
      </c>
    </row>
    <row r="15" spans="1:4" ht="16" x14ac:dyDescent="0.2">
      <c r="A15" s="3" t="s">
        <v>190</v>
      </c>
      <c r="B15" t="s">
        <v>27</v>
      </c>
      <c r="C15" s="3" t="s">
        <v>159</v>
      </c>
    </row>
    <row r="16" spans="1:4" ht="16" x14ac:dyDescent="0.2">
      <c r="A16" s="3" t="s">
        <v>95</v>
      </c>
      <c r="B16" t="s">
        <v>27</v>
      </c>
      <c r="C16" s="3" t="s">
        <v>159</v>
      </c>
    </row>
    <row r="17" spans="1:3" ht="16" x14ac:dyDescent="0.2">
      <c r="A17" s="3" t="s">
        <v>200</v>
      </c>
      <c r="B17" t="s">
        <v>27</v>
      </c>
      <c r="C17" s="3" t="s">
        <v>160</v>
      </c>
    </row>
    <row r="18" spans="1:3" ht="16" x14ac:dyDescent="0.2">
      <c r="A18" s="3" t="s">
        <v>189</v>
      </c>
      <c r="B18" t="s">
        <v>27</v>
      </c>
      <c r="C18" s="3" t="s">
        <v>160</v>
      </c>
    </row>
    <row r="19" spans="1:3" ht="16" x14ac:dyDescent="0.2">
      <c r="A19" s="3" t="s">
        <v>98</v>
      </c>
      <c r="B19" t="s">
        <v>27</v>
      </c>
      <c r="C19" s="3" t="s">
        <v>160</v>
      </c>
    </row>
    <row r="20" spans="1:3" ht="16" x14ac:dyDescent="0.2">
      <c r="A20" s="3" t="s">
        <v>211</v>
      </c>
      <c r="B20" t="s">
        <v>27</v>
      </c>
      <c r="C20" s="3" t="s">
        <v>161</v>
      </c>
    </row>
    <row r="21" spans="1:3" ht="16" x14ac:dyDescent="0.2">
      <c r="A21" s="3" t="s">
        <v>188</v>
      </c>
      <c r="B21" t="s">
        <v>27</v>
      </c>
      <c r="C21" s="3" t="s">
        <v>161</v>
      </c>
    </row>
    <row r="22" spans="1:3" ht="16" x14ac:dyDescent="0.2">
      <c r="A22" s="3" t="s">
        <v>109</v>
      </c>
      <c r="B22" t="s">
        <v>27</v>
      </c>
      <c r="C22" s="3" t="s">
        <v>161</v>
      </c>
    </row>
    <row r="23" spans="1:3" ht="16" x14ac:dyDescent="0.2">
      <c r="A23" s="3" t="s">
        <v>212</v>
      </c>
      <c r="B23" t="s">
        <v>27</v>
      </c>
      <c r="C23" s="3" t="s">
        <v>162</v>
      </c>
    </row>
    <row r="24" spans="1:3" ht="16" x14ac:dyDescent="0.2">
      <c r="A24" s="3" t="s">
        <v>187</v>
      </c>
      <c r="B24" t="s">
        <v>27</v>
      </c>
      <c r="C24" s="3" t="s">
        <v>162</v>
      </c>
    </row>
    <row r="25" spans="1:3" ht="16" x14ac:dyDescent="0.2">
      <c r="A25" s="3" t="s">
        <v>239</v>
      </c>
      <c r="B25" t="s">
        <v>27</v>
      </c>
      <c r="C25" s="3" t="s">
        <v>162</v>
      </c>
    </row>
    <row r="26" spans="1:3" ht="16" x14ac:dyDescent="0.2">
      <c r="A26" s="3" t="s">
        <v>201</v>
      </c>
      <c r="B26" t="s">
        <v>27</v>
      </c>
      <c r="C26" s="3" t="s">
        <v>163</v>
      </c>
    </row>
    <row r="27" spans="1:3" ht="16" x14ac:dyDescent="0.2">
      <c r="A27" s="3" t="s">
        <v>186</v>
      </c>
      <c r="B27" t="s">
        <v>27</v>
      </c>
      <c r="C27" s="3" t="s">
        <v>163</v>
      </c>
    </row>
    <row r="28" spans="1:3" ht="16" x14ac:dyDescent="0.2">
      <c r="A28" s="3" t="s">
        <v>236</v>
      </c>
      <c r="B28" t="s">
        <v>27</v>
      </c>
      <c r="C28" s="3" t="s">
        <v>163</v>
      </c>
    </row>
    <row r="29" spans="1:3" ht="16" x14ac:dyDescent="0.2">
      <c r="A29" s="3" t="s">
        <v>205</v>
      </c>
      <c r="B29" t="s">
        <v>27</v>
      </c>
      <c r="C29" s="3" t="s">
        <v>164</v>
      </c>
    </row>
    <row r="30" spans="1:3" ht="16" x14ac:dyDescent="0.2">
      <c r="A30" s="3" t="s">
        <v>240</v>
      </c>
      <c r="B30" t="s">
        <v>27</v>
      </c>
      <c r="C30" s="3" t="s">
        <v>164</v>
      </c>
    </row>
    <row r="31" spans="1:3" ht="16" x14ac:dyDescent="0.2">
      <c r="A31" s="3" t="s">
        <v>120</v>
      </c>
      <c r="B31" t="s">
        <v>27</v>
      </c>
      <c r="C31" s="3" t="s">
        <v>164</v>
      </c>
    </row>
    <row r="32" spans="1:3" ht="16" x14ac:dyDescent="0.2">
      <c r="A32" s="3" t="s">
        <v>202</v>
      </c>
      <c r="B32" t="s">
        <v>27</v>
      </c>
      <c r="C32" s="3" t="s">
        <v>165</v>
      </c>
    </row>
    <row r="33" spans="1:3" ht="16" x14ac:dyDescent="0.2">
      <c r="A33" s="3" t="s">
        <v>241</v>
      </c>
      <c r="B33" t="s">
        <v>27</v>
      </c>
      <c r="C33" s="3" t="s">
        <v>165</v>
      </c>
    </row>
    <row r="34" spans="1:3" ht="16" x14ac:dyDescent="0.2">
      <c r="A34" s="3" t="s">
        <v>128</v>
      </c>
      <c r="B34" t="s">
        <v>27</v>
      </c>
      <c r="C34" s="3" t="s">
        <v>165</v>
      </c>
    </row>
    <row r="35" spans="1:3" ht="16" x14ac:dyDescent="0.2">
      <c r="A35" s="3" t="s">
        <v>207</v>
      </c>
      <c r="B35" t="s">
        <v>27</v>
      </c>
      <c r="C35" s="3" t="s">
        <v>166</v>
      </c>
    </row>
    <row r="36" spans="1:3" ht="16" x14ac:dyDescent="0.2">
      <c r="A36" s="3" t="s">
        <v>185</v>
      </c>
      <c r="B36" t="s">
        <v>27</v>
      </c>
      <c r="C36" s="3" t="s">
        <v>166</v>
      </c>
    </row>
    <row r="37" spans="1:3" ht="16" x14ac:dyDescent="0.2">
      <c r="A37" s="3" t="s">
        <v>171</v>
      </c>
      <c r="B37" t="s">
        <v>27</v>
      </c>
      <c r="C37" s="3" t="s">
        <v>166</v>
      </c>
    </row>
    <row r="38" spans="1:3" ht="16" x14ac:dyDescent="0.2">
      <c r="A38" s="3" t="s">
        <v>208</v>
      </c>
      <c r="B38" t="s">
        <v>27</v>
      </c>
      <c r="C38" s="3" t="s">
        <v>167</v>
      </c>
    </row>
    <row r="39" spans="1:3" ht="16" x14ac:dyDescent="0.2">
      <c r="A39" s="3" t="s">
        <v>184</v>
      </c>
      <c r="B39" t="s">
        <v>27</v>
      </c>
      <c r="C39" s="3" t="s">
        <v>167</v>
      </c>
    </row>
    <row r="40" spans="1:3" ht="16" x14ac:dyDescent="0.2">
      <c r="A40" s="3" t="s">
        <v>172</v>
      </c>
      <c r="B40" t="s">
        <v>27</v>
      </c>
      <c r="C40" s="3" t="s">
        <v>167</v>
      </c>
    </row>
    <row r="41" spans="1:3" ht="16" x14ac:dyDescent="0.2">
      <c r="A41" s="3" t="s">
        <v>209</v>
      </c>
      <c r="B41" t="s">
        <v>27</v>
      </c>
      <c r="C41" s="3" t="s">
        <v>168</v>
      </c>
    </row>
    <row r="42" spans="1:3" ht="16" x14ac:dyDescent="0.2">
      <c r="A42" s="3" t="s">
        <v>183</v>
      </c>
      <c r="B42" t="s">
        <v>27</v>
      </c>
      <c r="C42" s="3" t="s">
        <v>168</v>
      </c>
    </row>
    <row r="43" spans="1:3" ht="16" x14ac:dyDescent="0.2">
      <c r="A43" s="3" t="s">
        <v>139</v>
      </c>
      <c r="B43" t="s">
        <v>27</v>
      </c>
      <c r="C43" s="3" t="s">
        <v>168</v>
      </c>
    </row>
    <row r="44" spans="1:3" ht="16" x14ac:dyDescent="0.2">
      <c r="A44" s="3" t="s">
        <v>203</v>
      </c>
      <c r="B44" t="s">
        <v>27</v>
      </c>
      <c r="C44" s="3" t="s">
        <v>169</v>
      </c>
    </row>
    <row r="45" spans="1:3" ht="16" x14ac:dyDescent="0.2">
      <c r="A45" s="3" t="s">
        <v>182</v>
      </c>
      <c r="B45" t="s">
        <v>27</v>
      </c>
      <c r="C45" s="3" t="s">
        <v>169</v>
      </c>
    </row>
    <row r="46" spans="1:3" ht="16" x14ac:dyDescent="0.2">
      <c r="A46" s="3" t="s">
        <v>173</v>
      </c>
      <c r="B46" t="s">
        <v>27</v>
      </c>
      <c r="C46" s="3" t="s">
        <v>169</v>
      </c>
    </row>
    <row r="47" spans="1:3" ht="16" x14ac:dyDescent="0.2">
      <c r="A47" s="3" t="s">
        <v>234</v>
      </c>
      <c r="B47" t="s">
        <v>27</v>
      </c>
      <c r="C47" s="3" t="s">
        <v>170</v>
      </c>
    </row>
    <row r="48" spans="1:3" ht="16" x14ac:dyDescent="0.2">
      <c r="A48" s="3" t="s">
        <v>181</v>
      </c>
      <c r="B48" t="s">
        <v>27</v>
      </c>
      <c r="C48" s="3" t="s">
        <v>170</v>
      </c>
    </row>
    <row r="49" spans="1:3" ht="16" x14ac:dyDescent="0.2">
      <c r="A49" s="3" t="s">
        <v>174</v>
      </c>
      <c r="B49" t="s">
        <v>27</v>
      </c>
      <c r="C49" s="3" t="s">
        <v>170</v>
      </c>
    </row>
    <row r="50" spans="1:3" ht="16" x14ac:dyDescent="0.2">
      <c r="A50" s="9" t="s">
        <v>228</v>
      </c>
      <c r="B50" s="9" t="s">
        <v>27</v>
      </c>
      <c r="C50" s="12" t="s">
        <v>58</v>
      </c>
    </row>
    <row r="51" spans="1:3" x14ac:dyDescent="0.2">
      <c r="A51" s="9" t="s">
        <v>229</v>
      </c>
      <c r="B51" s="9" t="s">
        <v>27</v>
      </c>
      <c r="C51" s="9" t="s">
        <v>62</v>
      </c>
    </row>
    <row r="52" spans="1:3" x14ac:dyDescent="0.2">
      <c r="A52" s="9" t="s">
        <v>230</v>
      </c>
      <c r="B52" s="9" t="s">
        <v>27</v>
      </c>
      <c r="C52" s="9" t="s">
        <v>65</v>
      </c>
    </row>
    <row r="53" spans="1:3" x14ac:dyDescent="0.2">
      <c r="A53" s="9" t="s">
        <v>238</v>
      </c>
      <c r="B53" s="9" t="s">
        <v>27</v>
      </c>
      <c r="C53" t="s">
        <v>178</v>
      </c>
    </row>
    <row r="54" spans="1:3" x14ac:dyDescent="0.2">
      <c r="A54" s="9" t="s">
        <v>237</v>
      </c>
      <c r="B54" s="9" t="s">
        <v>27</v>
      </c>
      <c r="C54" t="s">
        <v>175</v>
      </c>
    </row>
    <row r="55" spans="1:3" x14ac:dyDescent="0.2">
      <c r="A55" s="3"/>
      <c r="C55" s="3"/>
    </row>
    <row r="56" spans="1:3" x14ac:dyDescent="0.2">
      <c r="A56" s="3"/>
      <c r="C56" s="3"/>
    </row>
    <row r="57" spans="1:3" x14ac:dyDescent="0.2">
      <c r="A57" s="3"/>
      <c r="C57" s="3"/>
    </row>
    <row r="58" spans="1:3" x14ac:dyDescent="0.2">
      <c r="A58" s="3"/>
      <c r="C58" s="3"/>
    </row>
    <row r="59" spans="1:3" x14ac:dyDescent="0.2">
      <c r="A59" s="3"/>
      <c r="C59" s="3"/>
    </row>
    <row r="60" spans="1:3" x14ac:dyDescent="0.2">
      <c r="A60" s="3"/>
      <c r="C60" s="3"/>
    </row>
    <row r="61" spans="1:3" x14ac:dyDescent="0.2">
      <c r="A61" s="3"/>
      <c r="C61" s="3"/>
    </row>
    <row r="62" spans="1:3" x14ac:dyDescent="0.2">
      <c r="A62" s="3"/>
      <c r="C62" s="3"/>
    </row>
    <row r="63" spans="1:3" x14ac:dyDescent="0.2">
      <c r="A63" s="3"/>
      <c r="C63" s="3"/>
    </row>
    <row r="64" spans="1:3" x14ac:dyDescent="0.2">
      <c r="A64" s="3"/>
      <c r="C64" s="3"/>
    </row>
    <row r="65" spans="1:3" x14ac:dyDescent="0.2">
      <c r="A65" s="3"/>
      <c r="C65" s="3"/>
    </row>
    <row r="66" spans="1:3" x14ac:dyDescent="0.2">
      <c r="A66" s="3"/>
      <c r="C66" s="3"/>
    </row>
    <row r="67" spans="1:3" x14ac:dyDescent="0.2">
      <c r="A67" s="3"/>
      <c r="C67" s="3"/>
    </row>
    <row r="68" spans="1:3" x14ac:dyDescent="0.2">
      <c r="A68" s="3"/>
      <c r="C68" s="3"/>
    </row>
    <row r="69" spans="1:3" x14ac:dyDescent="0.2">
      <c r="A69" s="3"/>
      <c r="C69" s="3"/>
    </row>
    <row r="70" spans="1:3" x14ac:dyDescent="0.2">
      <c r="A70" s="3"/>
      <c r="C70" s="3"/>
    </row>
    <row r="71" spans="1:3" x14ac:dyDescent="0.2">
      <c r="A71" s="3"/>
      <c r="C71" s="3"/>
    </row>
    <row r="72" spans="1:3" x14ac:dyDescent="0.2">
      <c r="A72" s="3"/>
      <c r="C72" s="3"/>
    </row>
    <row r="73" spans="1:3" x14ac:dyDescent="0.2">
      <c r="A73" s="3"/>
      <c r="C73" s="3"/>
    </row>
    <row r="74" spans="1:3" x14ac:dyDescent="0.2">
      <c r="A74" s="3"/>
      <c r="C74" s="3"/>
    </row>
    <row r="75" spans="1:3" x14ac:dyDescent="0.2">
      <c r="A75" s="3"/>
      <c r="C75" s="3"/>
    </row>
    <row r="76" spans="1:3" x14ac:dyDescent="0.2">
      <c r="A76" s="3"/>
      <c r="C76" s="3"/>
    </row>
    <row r="77" spans="1:3" x14ac:dyDescent="0.2">
      <c r="A77" s="3"/>
      <c r="C77" s="3"/>
    </row>
    <row r="78" spans="1:3" x14ac:dyDescent="0.2">
      <c r="A78" s="3"/>
      <c r="C78" s="3"/>
    </row>
    <row r="79" spans="1:3" x14ac:dyDescent="0.2">
      <c r="A79" s="3"/>
      <c r="C79" s="3"/>
    </row>
    <row r="80" spans="1:3" x14ac:dyDescent="0.2">
      <c r="A80" s="3"/>
      <c r="C80" s="3"/>
    </row>
    <row r="81" spans="1:3" x14ac:dyDescent="0.2">
      <c r="A81" s="3"/>
      <c r="C81" s="3"/>
    </row>
    <row r="82" spans="1:3" x14ac:dyDescent="0.2">
      <c r="A82" s="3"/>
      <c r="C82" s="3"/>
    </row>
    <row r="83" spans="1:3" x14ac:dyDescent="0.2">
      <c r="A83" s="3"/>
      <c r="C83" s="3"/>
    </row>
    <row r="84" spans="1:3" x14ac:dyDescent="0.2">
      <c r="A84" s="3"/>
      <c r="C84" s="3"/>
    </row>
    <row r="85" spans="1:3" x14ac:dyDescent="0.2">
      <c r="A85" s="3"/>
      <c r="C85" s="3"/>
    </row>
    <row r="86" spans="1:3" x14ac:dyDescent="0.2">
      <c r="A86" s="3"/>
      <c r="C86" s="3"/>
    </row>
    <row r="87" spans="1:3" x14ac:dyDescent="0.2">
      <c r="A87" s="3"/>
      <c r="C87" s="3"/>
    </row>
    <row r="88" spans="1:3" x14ac:dyDescent="0.2">
      <c r="A88" s="3"/>
      <c r="C88" s="3"/>
    </row>
    <row r="89" spans="1:3" x14ac:dyDescent="0.2">
      <c r="A89" s="3"/>
      <c r="C89" s="3"/>
    </row>
    <row r="90" spans="1:3" x14ac:dyDescent="0.2">
      <c r="A90" s="3"/>
      <c r="C90" s="3"/>
    </row>
    <row r="91" spans="1:3" x14ac:dyDescent="0.2">
      <c r="A91" s="3"/>
      <c r="C91" s="3"/>
    </row>
    <row r="92" spans="1:3" x14ac:dyDescent="0.2">
      <c r="A92" s="3"/>
      <c r="C92" s="3"/>
    </row>
    <row r="93" spans="1:3" x14ac:dyDescent="0.2">
      <c r="A93" s="3"/>
      <c r="C93" s="3"/>
    </row>
    <row r="94" spans="1:3" x14ac:dyDescent="0.2">
      <c r="A94" s="3"/>
      <c r="C94" s="3"/>
    </row>
    <row r="95" spans="1:3" x14ac:dyDescent="0.2">
      <c r="A95" s="3"/>
      <c r="C95" s="3"/>
    </row>
    <row r="96" spans="1:3" x14ac:dyDescent="0.2">
      <c r="A96" s="3"/>
      <c r="C96" s="3"/>
    </row>
    <row r="97" spans="1:3" x14ac:dyDescent="0.2">
      <c r="A97" s="3"/>
      <c r="C97" s="3"/>
    </row>
    <row r="98" spans="1:3" x14ac:dyDescent="0.2">
      <c r="A98" s="3"/>
      <c r="C98" s="3"/>
    </row>
    <row r="99" spans="1:3" x14ac:dyDescent="0.2">
      <c r="A99" s="3"/>
      <c r="C99" s="3"/>
    </row>
    <row r="100" spans="1:3" x14ac:dyDescent="0.2">
      <c r="A100" s="3"/>
      <c r="C100" s="3"/>
    </row>
    <row r="101" spans="1:3" x14ac:dyDescent="0.2">
      <c r="A101" s="3"/>
      <c r="C101" s="3"/>
    </row>
    <row r="102" spans="1:3" x14ac:dyDescent="0.2">
      <c r="A102" s="3"/>
      <c r="C102"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140" zoomScaleNormal="140" workbookViewId="0">
      <selection activeCell="E3" sqref="E3"/>
    </sheetView>
  </sheetViews>
  <sheetFormatPr baseColWidth="10" defaultColWidth="8.83203125" defaultRowHeight="15" x14ac:dyDescent="0.2"/>
  <cols>
    <col min="1" max="1" width="21.33203125" customWidth="1"/>
    <col min="2" max="2" width="23.83203125" customWidth="1"/>
    <col min="3" max="3" width="21" customWidth="1"/>
  </cols>
  <sheetData>
    <row r="1" spans="1:5" ht="32" x14ac:dyDescent="0.2">
      <c r="A1" s="1" t="s">
        <v>2</v>
      </c>
      <c r="B1" s="1" t="s">
        <v>0</v>
      </c>
      <c r="C1" s="1" t="s">
        <v>6</v>
      </c>
      <c r="D1" s="10" t="s">
        <v>4</v>
      </c>
      <c r="E1" s="11" t="s">
        <v>20</v>
      </c>
    </row>
    <row r="2" spans="1:5" x14ac:dyDescent="0.2">
      <c r="A2" t="s">
        <v>58</v>
      </c>
      <c r="B2" t="s">
        <v>59</v>
      </c>
      <c r="C2" t="s">
        <v>61</v>
      </c>
      <c r="D2" s="9" t="s">
        <v>227</v>
      </c>
      <c r="E2" s="9" t="s">
        <v>228</v>
      </c>
    </row>
    <row r="3" spans="1:5" ht="17" customHeight="1" x14ac:dyDescent="0.2">
      <c r="A3" t="s">
        <v>175</v>
      </c>
      <c r="B3" t="s">
        <v>177</v>
      </c>
      <c r="C3" s="6" t="s">
        <v>176</v>
      </c>
      <c r="D3" s="9" t="s">
        <v>227</v>
      </c>
      <c r="E3" s="9" t="s">
        <v>237</v>
      </c>
    </row>
    <row r="4" spans="1:5" x14ac:dyDescent="0.2">
      <c r="A4" t="s">
        <v>62</v>
      </c>
      <c r="B4" t="s">
        <v>63</v>
      </c>
      <c r="C4" t="s">
        <v>64</v>
      </c>
      <c r="D4" s="9" t="s">
        <v>227</v>
      </c>
      <c r="E4" s="9" t="s">
        <v>229</v>
      </c>
    </row>
    <row r="5" spans="1:5" ht="16" customHeight="1" x14ac:dyDescent="0.2">
      <c r="A5" t="s">
        <v>65</v>
      </c>
      <c r="B5" t="s">
        <v>66</v>
      </c>
      <c r="C5" s="6" t="s">
        <v>67</v>
      </c>
      <c r="D5" s="9" t="s">
        <v>227</v>
      </c>
      <c r="E5" s="9" t="s">
        <v>230</v>
      </c>
    </row>
    <row r="6" spans="1:5" x14ac:dyDescent="0.2">
      <c r="A6" t="s">
        <v>178</v>
      </c>
      <c r="B6" t="s">
        <v>179</v>
      </c>
      <c r="C6" t="s">
        <v>180</v>
      </c>
      <c r="D6" s="9" t="s">
        <v>227</v>
      </c>
      <c r="E6" s="9" t="s">
        <v>238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130" zoomScaleNormal="130" workbookViewId="0">
      <selection activeCell="D12" sqref="D12"/>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28</v>
      </c>
      <c r="B2" t="s">
        <v>29</v>
      </c>
      <c r="C2" t="s">
        <v>30</v>
      </c>
      <c r="D2" t="s">
        <v>31</v>
      </c>
    </row>
    <row r="3" spans="1:4" x14ac:dyDescent="0.2">
      <c r="A3" t="s">
        <v>32</v>
      </c>
      <c r="B3" t="s">
        <v>29</v>
      </c>
      <c r="C3" t="s">
        <v>33</v>
      </c>
      <c r="D3" t="s">
        <v>34</v>
      </c>
    </row>
    <row r="4" spans="1:4" x14ac:dyDescent="0.2">
      <c r="A4" t="s">
        <v>35</v>
      </c>
      <c r="B4" t="s">
        <v>29</v>
      </c>
      <c r="C4" t="s">
        <v>36</v>
      </c>
      <c r="D4" t="s">
        <v>37</v>
      </c>
    </row>
    <row r="5" spans="1:4" x14ac:dyDescent="0.2">
      <c r="A5" t="s">
        <v>38</v>
      </c>
      <c r="B5" t="s">
        <v>29</v>
      </c>
      <c r="C5" t="s">
        <v>39</v>
      </c>
      <c r="D5" t="s">
        <v>40</v>
      </c>
    </row>
    <row r="6" spans="1:4" x14ac:dyDescent="0.2">
      <c r="A6" t="s">
        <v>35</v>
      </c>
      <c r="B6" t="s">
        <v>29</v>
      </c>
      <c r="C6" t="s">
        <v>41</v>
      </c>
      <c r="D6" t="s">
        <v>42</v>
      </c>
    </row>
    <row r="7" spans="1:4" x14ac:dyDescent="0.2">
      <c r="A7" t="s">
        <v>43</v>
      </c>
      <c r="B7" t="s">
        <v>29</v>
      </c>
      <c r="C7" t="s">
        <v>44</v>
      </c>
      <c r="D7" t="s">
        <v>45</v>
      </c>
    </row>
    <row r="8" spans="1:4" x14ac:dyDescent="0.2">
      <c r="A8" t="s">
        <v>46</v>
      </c>
      <c r="B8" t="s">
        <v>29</v>
      </c>
      <c r="C8" t="s">
        <v>47</v>
      </c>
      <c r="D8" t="s">
        <v>48</v>
      </c>
    </row>
    <row r="9" spans="1:4" x14ac:dyDescent="0.2">
      <c r="A9" t="s">
        <v>49</v>
      </c>
      <c r="B9" t="s">
        <v>29</v>
      </c>
      <c r="C9" t="s">
        <v>50</v>
      </c>
      <c r="D9" t="s">
        <v>51</v>
      </c>
    </row>
    <row r="10" spans="1:4" x14ac:dyDescent="0.2">
      <c r="A10" s="9" t="s">
        <v>218</v>
      </c>
      <c r="B10" s="9" t="s">
        <v>29</v>
      </c>
      <c r="C10" s="9" t="s">
        <v>219</v>
      </c>
      <c r="D10" s="9" t="s">
        <v>220</v>
      </c>
    </row>
    <row r="11" spans="1:4" x14ac:dyDescent="0.2">
      <c r="A11" s="9" t="s">
        <v>221</v>
      </c>
      <c r="B11" s="9" t="s">
        <v>29</v>
      </c>
      <c r="C11" s="9" t="s">
        <v>222</v>
      </c>
      <c r="D11" s="9" t="s">
        <v>223</v>
      </c>
    </row>
    <row r="12" spans="1:4" x14ac:dyDescent="0.2">
      <c r="A12" s="9" t="s">
        <v>224</v>
      </c>
      <c r="B12" s="9" t="s">
        <v>29</v>
      </c>
      <c r="C12" s="9" t="s">
        <v>225</v>
      </c>
      <c r="D12" s="9" t="s">
        <v>226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F29" sqref="F29"/>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52</v>
      </c>
      <c r="D1" s="1" t="s">
        <v>53</v>
      </c>
    </row>
    <row r="2" spans="1:4" x14ac:dyDescent="0.2">
      <c r="A2" t="s">
        <v>54</v>
      </c>
      <c r="B2" t="s">
        <v>55</v>
      </c>
      <c r="C2" t="s">
        <v>56</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People</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 Davis</cp:lastModifiedBy>
  <dcterms:created xsi:type="dcterms:W3CDTF">2025-10-09T02:02:11Z</dcterms:created>
  <dcterms:modified xsi:type="dcterms:W3CDTF">2026-03-24T07:17:08Z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