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uqfmeaki/Dropbox/2026_GurindjiBirds/Bush-foods/"/>
    </mc:Choice>
  </mc:AlternateContent>
  <xr:revisionPtr revIDLastSave="0" documentId="13_ncr:1_{86AB6EB4-9290-9B40-A2A4-92EAE814729B}" xr6:coauthVersionLast="47" xr6:coauthVersionMax="47" xr10:uidLastSave="{00000000-0000-0000-0000-000000000000}"/>
  <bookViews>
    <workbookView xWindow="1280" yWindow="2120" windowWidth="30240" windowHeight="17260" activeTab="2" xr2:uid="{00000000-000D-0000-FFFF-FFFF00000000}"/>
  </bookViews>
  <sheets>
    <sheet name="RootDataset" sheetId="1" r:id="rId1"/>
    <sheet name="@context" sheetId="2" r:id="rId2"/>
    <sheet name="Entries" sheetId="3" r:id="rId3"/>
    <sheet name="Files" sheetId="4" r:id="rId4"/>
    <sheet name="People"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3" l="1"/>
  <c r="A21" i="3"/>
  <c r="A20" i="3"/>
  <c r="A19" i="3"/>
  <c r="A18" i="3"/>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<sst xmlns="http://schemas.openxmlformats.org/spreadsheetml/2006/main" count="602" uniqueCount="285">
  <si>
    <t>name</t>
  </si>
  <si>
    <t>value</t>
  </si>
  <si>
    <t>@id</t>
  </si>
  <si>
    <t>./</t>
  </si>
  <si>
    <t>@type</t>
  </si>
  <si>
    <t>[Dataset,RepositoryCollection]</t>
  </si>
  <si>
    <t>description</t>
  </si>
  <si>
    <t>isRef_author</t>
  </si>
  <si>
    <t>isRef_publisher</t>
  </si>
  <si>
    <t>ldac</t>
  </si>
  <si>
    <t>https://w3id.org/ldac/terms#</t>
  </si>
  <si>
    <t>custom</t>
  </si>
  <si>
    <t>arcp://name,custom/terms#</t>
  </si>
  <si>
    <t>isRef_pcdm:memberOf</t>
  </si>
  <si>
    <t>datePublished</t>
  </si>
  <si>
    <t>isRef_license</t>
  </si>
  <si>
    <t>custom:translation</t>
  </si>
  <si>
    <t>custom:sentence</t>
  </si>
  <si>
    <t>custom:sentenceTranslation</t>
  </si>
  <si>
    <t>custom:scientificName</t>
  </si>
  <si>
    <t>isRef_custom:image</t>
  </si>
  <si>
    <t>isRef_custom:nameAudio</t>
  </si>
  <si>
    <t>isRef_custom:sentenceAudio</t>
  </si>
  <si>
    <t>RepositoryObject</t>
  </si>
  <si>
    <t>2016-11-08 01:36:17</t>
  </si>
  <si>
    <t>https://creativecommons.org/licenses/by/4.0/</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</si>
  <si>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</si>
  <si>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</si>
  <si>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</si>
  <si>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</si>
  <si>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</si>
  <si>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</si>
  <si>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</si>
  <si>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</si>
  <si>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</si>
  <si>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</si>
  <si>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</si>
  <si>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</si>
  <si>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</si>
  <si>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</si>
  <si>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</si>
  <si>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</si>
  <si>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</si>
  <si>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</si>
  <si>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</si>
  <si>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</si>
  <si>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</si>
  <si>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</si>
  <si>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</si>
  <si>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</si>
  <si>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</si>
  <si>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</si>
  <si>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</si>
  <si>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</si>
  <si>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</si>
  <si>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</si>
  <si>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</si>
  <si>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alternateName</t>
  </si>
  <si>
    <t>photographerName</t>
  </si>
  <si>
    <t>#VioletWadrill</t>
  </si>
  <si>
    <t>Violet Wadrill</t>
  </si>
  <si>
    <t>warlujurlurru</t>
  </si>
  <si>
    <t>Strongylura kreffti</t>
  </si>
  <si>
    <t>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</si>
  <si>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#BiddyWavehill</t>
  </si>
  <si>
    <t>Biddy Wavehill Yamawurr</t>
  </si>
  <si>
    <t>Biddy Wavehill Yamawurr Nangala was born in 1942 to Mariah Yakngarri
Nangari and Cracker Jarluyarri Jampijina under a wanyarri (bauhinia tree)
at Jinparrak (old Wave Hill Station). She is the sister of Ronnie Wavehill
and Steven Long. Biddy grew up at the station and worked in the
stockman’s quarters when she was a young woman. She met her husband,
Jimmy Wavehill Ngawanyja, at the station, and they travelled around,
working on many different cattle stations including Limbunya, Waterloo,
Argyle, Ivanhoe, Bow River, Mable Downs, Spring Creek and Nicholson
before returning to Limbunya. Biddy and Jimmy now live at Kalkaringi
with their 10 children, 24 grandchildren and 15 great-grandchildren.
Biddy has been heavily involved with Gurindji language and culture
documentation projects with Felicity Meakins, Erika Charola and Lauren
Campbell, including the dictionary and ethnobiology compilation. She is
also a director of the Karungkarni Art and Culture Aboriginal Corporation.
She paints her Dreamings, including ngawa (water), janginyina (lightning),
wampana (spectacled hare wallaby) and yarrkankurna (white cockatoo).
In 2011, Biddy represented the region in the development of designs for
the Katherine Region Cultural Precinct, and in 2013 Biddy represented
Karungkarni Arts at Megalo Printmaking Studios in Canberra.</t>
  </si>
  <si>
    <t>Penny Smith</t>
  </si>
  <si>
    <t>karrajkarraj</t>
  </si>
  <si>
    <t>Ziziphus quadrilocularis</t>
  </si>
  <si>
    <t>Curry Orange</t>
  </si>
  <si>
    <t>yangunungu</t>
  </si>
  <si>
    <t>Bush Potato</t>
  </si>
  <si>
    <t>Ipomoea costata</t>
  </si>
  <si>
    <t>Carissa lanceolata</t>
  </si>
  <si>
    <t>Peggy Macqueen</t>
  </si>
  <si>
    <t>Conkerberry</t>
  </si>
  <si>
    <t>ngamanpurru</t>
  </si>
  <si>
    <t>ngarlu</t>
  </si>
  <si>
    <t>namawurru</t>
  </si>
  <si>
    <t>Sugarbag</t>
  </si>
  <si>
    <t>Brenda L Croft</t>
  </si>
  <si>
    <t>No scientific name</t>
  </si>
  <si>
    <t>Capparis umbonata</t>
  </si>
  <si>
    <t>Bush Orange</t>
  </si>
  <si>
    <t>kurlartarti</t>
  </si>
  <si>
    <t>mintarraj</t>
  </si>
  <si>
    <t>Water Lily</t>
  </si>
  <si>
    <t>Nymphaea macrosperma</t>
  </si>
  <si>
    <t>Vigna lanceolata</t>
  </si>
  <si>
    <t>wayita</t>
  </si>
  <si>
    <t>Pencil Yam</t>
  </si>
  <si>
    <t>kinyjirrka</t>
  </si>
  <si>
    <t>Red-flowered Kurrajong</t>
  </si>
  <si>
    <t>Brachychiton megaphyllus,
Brachychiton spectabilis</t>
  </si>
  <si>
    <t>Vitex glabrata</t>
  </si>
  <si>
    <t>Black Plum</t>
  </si>
  <si>
    <t>muying</t>
  </si>
  <si>
    <t>kurtakarla</t>
  </si>
  <si>
    <t>Bush Coconut</t>
  </si>
  <si>
    <t>Hemiptera, Sternorrhyncha</t>
  </si>
  <si>
    <t>Cucumis melo</t>
  </si>
  <si>
    <t>Bush Cucumber</t>
  </si>
  <si>
    <t>kawujin</t>
  </si>
  <si>
    <t>kaaril</t>
  </si>
  <si>
    <t>partiki</t>
  </si>
  <si>
    <t>Bush Nuts</t>
  </si>
  <si>
    <t>Terminalia arostrata, Terminalia grandiflora</t>
  </si>
  <si>
    <t>Acacia maconochieana, Acacia stenophylla</t>
  </si>
  <si>
    <t>Bush Bean</t>
  </si>
  <si>
    <t>kunanturu</t>
  </si>
  <si>
    <t>kinyuwurra</t>
  </si>
  <si>
    <t>Bush Onion</t>
  </si>
  <si>
    <t>Yipu purrp nyamu-nga wanku, nyila-ma-nga karru kankulupal-a-ma, jarrwalut karru-nga. Wal nyamu-rnalu-nga yanku kurrijkurrijkarra-wu. Nyila-ma-rnalu manu punyuk-parni na. Kuyangka-ma kurrijkarra, punyuk pani tip, mampurra-rni longlongwan kuyany-ma kururl-ma ngu kula yapayapa, marntaj.</t>
  </si>
  <si>
    <t>Black Soil Yam</t>
  </si>
  <si>
    <t>When the wet season finishes, yams shoot up and there's a lot of them around. That’s when we go and dig. It’s easy to pull the yams up when the soil is a bit damp. If you’re careful, you can pull up big ones without breaking them.</t>
  </si>
  <si>
    <t>Ipomoea diamantinensis</t>
  </si>
  <si>
    <t>kamara</t>
  </si>
  <si>
    <t>kururl</t>
  </si>
  <si>
    <t>ngurlu</t>
  </si>
  <si>
    <t>Bush Grain</t>
  </si>
  <si>
    <t>Many grasses</t>
  </si>
  <si>
    <t>martiya</t>
  </si>
  <si>
    <t>Bush Gum</t>
  </si>
  <si>
    <t>When we go fishing for whatever, we get some bush gum to eat. We might take some to some shade and soften it by the fire. Then we eat the bush gum which tastes nice. It comes from bendee trees.</t>
  </si>
  <si>
    <t xml:space="preserve">Nyamu-rnalu yanana, wuyurrunkarra nyampawu. Ngurnalu manana martiya-ma jaartkarra-wu. Ngurnalu kangana yarti-ngkurra. Maitbi ngurnalu kamparnana kalypak, warlu-ngka. Ngurnalu ngarnana jaartkarra nyila-ma martiya-ma, punyu. Purijpurij-ngarna-ma. </t>
  </si>
  <si>
    <t>Terminalia bursarina</t>
  </si>
  <si>
    <t>wiyinti</t>
  </si>
  <si>
    <t>Fern-Leaved Grevillea</t>
  </si>
  <si>
    <t>Ngurnalu manana wuyu-ma wiyinti na wiyinti wiyinti, karnti. Parnngirri-warla turl panana ngurnalu ngurnalu kamparnana na. Ngurnalu kamparnana, wuyumpulu na karrinyana, wuyuwuyu. Nyila-ma ngurnalu warrkuj manana ngurnalu manana kuya na, wararr-jawung-kulu. Ngurnalu yuwanana kuyany-ja na.</t>
  </si>
  <si>
    <t>We get charcoal from the fern-leaved grevillia. We chop some bark off the tree and burn it. We burn it until it is charcoal. Then we pick it up and grind it into a paste using fat. Finally we paint it on our skin.</t>
  </si>
  <si>
    <t>Grevillea pteridifolia</t>
  </si>
  <si>
    <t>Corymbia bella</t>
  </si>
  <si>
    <t>The bark is stripped off the ghost gum to make ashes. This bark is wet. It will take about three days to dry out in the sun. When it is dry, we burn it down until it’s tangy. We like it tangy because it keeps the flavour longer.</t>
  </si>
  <si>
    <t>Jirripkarra panana nyila-ma walarri-ma parnngirri-ma kawurn-ku. Nyawa-ma wilypuyu-ma. Wartartart murrkun-kurt jiyawu-nga. Nyamu-nga wurruja-ma karru nyilarra-ma parnngirri-ma, kamparnu na ngurnalu kamparnana na, kuliyan-pirrji. Kuliyan ngurnalu like ‘em manana, ngajik ngurnalu karrwarnana.</t>
  </si>
  <si>
    <t>walarri</t>
  </si>
  <si>
    <t>Ghost Gum</t>
  </si>
  <si>
    <t>This is sugarbag. (To get it) people listen for bees or spot them.
That’s how they find sugarbag in trees. Then they chop out the
sugarbag. They get both the honeycomb and the honey
and mix it up. Native bee-hives or 'sugarbag' (in Kriol) contain sweet dark honey that is very tasty and much sought after. The hives also contain wax, pollen and eggs. The small bees have no sting and are harmless. Sugarbag is considered a mild laxative which 'opens up' your stomach. The general terms for sugarbag are 'namawurru' or 'ngarlu' which also refer to the sweet dark honey. The honey is referred to specifically as 'ngunyjung'. Sugarbag occurs in three main areas. One is found in hollows in trees, one occurs in the ground and the other in termite mounds. Ground sugarbag is called 'nangkalij' or 'nangkaliny' or 'yarlukura'. Tree sugarbag is called 'ngarlu' or 'namawurru'. The entrance hole of the hive is called 'jurrkiny' which has a nose or veranda over the hole. The small stingless bee is called 'nama' or 'lanu'. The yellow eggs and pollen in the hive are called 'kuntarri', 'kumpaying' or 'ngunyuwulij'. The wax is called 'jikala', 'piyarnak', or 'tarla'. The separation between the honey and wax, and the pollen is called 'jirnuk'. The honey, wax and pollen all mixed up together is referred to as 'kirrang'. A full hive is called 'ngitiwuny'. The egg of the bee is called 'kurla'. Bee droppings are called 'jayurrk' and are seen below the hive entrance holes on the ground. This signals that the hive is active. The word for sugarbag season is 'tulwarrangkarrakmirntij' (the season of blossoms) and there are specific words for chopping at a tree to get honey, 'pirntirrp' or 'tarlawurlp' and digging into the hole with your fingers and sampling the honey, 'ngampij' or 'ngapinykarra'. A stick or small brush which is used to get honey out of a tree that cannot be chopped open is called a 'jamawurn'.</t>
  </si>
  <si>
    <t>Namawurru-ma. Kurru ngulu nyangani kuyangku, ngulu nyangani kankula karrap nama-walija. Paraj ngulu pungani karnti-ka. Tikap na ngulu panani namawurru-ma nyila-ma. Ngulu manani kumpaying purrupurru ngarlu ngulu manani. Yuwanani ngulu parlak.</t>
  </si>
  <si>
    <t>Wayita-ma ngulu pungani kurrijkurrijkarra. Jurrpara-lu jipij wayita-ma. Jiyarnani ngu.</t>
  </si>
  <si>
    <t>People dig up all kinds of yams. You roast them with hot coals. They cook well that way.</t>
  </si>
  <si>
    <t>Partiki-ma jangkakarni ngulu panani tajkarra janyparlk. Ngulu ngarnani karu-ngku-ma jaartkarra janyparlk-ma. Nyila-ma winkilying-ma nyamu karrinyani jakjak-nginyi, karnti-ka, kuya ngulu manani. Ngulu ngarnani jaartkarra.</t>
  </si>
  <si>
    <t>People crack open these large nuts called ‘janyparlk’. Kids like these nuts too. When they are ripe and fall on the ground or are on the tree, everyone collects and eats them.</t>
  </si>
  <si>
    <t>Karnti kunanturu. Mangarri ‘wakurlpirri’ seed yapayapa.
Jaartkarrawaji du ngu. Ngulu kamparnani warlu-ngka kurnka-ma nyila-ma jangkakarni seed juwaljuwal.</t>
  </si>
  <si>
    <t>Bush beans are a type of tree. They have small seeds called ‘wakurlpirri’. These seeds are edible. People cook the long unripe seed pods on the fire.</t>
  </si>
  <si>
    <t>files/images/IMGP3047_kurlartarti.jpg</t>
  </si>
  <si>
    <t>files/images/IMGP2930_ngamanpurru.jpg</t>
  </si>
  <si>
    <t>kilipi</t>
  </si>
  <si>
    <t>Marsdenia australis, Marsdenia viridiflora</t>
  </si>
  <si>
    <t>files/images/IMG_4355.jpg</t>
  </si>
  <si>
    <t>files/images/kamara.jpeg</t>
  </si>
  <si>
    <t>Unknown photographer</t>
  </si>
  <si>
    <t>files/images/muying02.jpg</t>
  </si>
  <si>
    <t>Murnkurrumurnkurru rangers</t>
  </si>
  <si>
    <t>tuku</t>
  </si>
  <si>
    <t>This short, solid mussel is found in the mud at the edges of 'langkarna' (billabongs). They are roasted on hot coals and eaten. Mussels cannot be eaten by boys; men can only eat them after they have been initiated. The meat can also be boiled in water with a little salt and made into 'yingalk' (soup) and this can be drunk to treat 'kulykulya' (congestion or 'bad cold' in Kriol) and 'ngajkula' (diarrhoea). The juice from mussels can also be used to treat ear aches and infections. It is dripped straight into the ear.</t>
  </si>
  <si>
    <t>Felicity Meakins</t>
  </si>
  <si>
    <t>files/images/DSC00109.jpg</t>
  </si>
  <si>
    <t>Velesunio wilsonii</t>
  </si>
  <si>
    <t>Freshwater Mussel</t>
  </si>
  <si>
    <t>Bush Banana</t>
  </si>
  <si>
    <t>files/images/walarri.jpg</t>
  </si>
  <si>
    <t>files/images/IMGP3038_kurtakarla.jpg</t>
  </si>
  <si>
    <t>files/images/IMG_0279.jpg</t>
  </si>
  <si>
    <t>Glenn Wightman</t>
  </si>
  <si>
    <t>files/images/DSC_0676.jpg</t>
  </si>
  <si>
    <t>files/audio/sentences/05_Karrajkarraj_VW.mp3</t>
  </si>
  <si>
    <t>files/audio/sentences/10_Yangunungku_BW.mp3</t>
  </si>
  <si>
    <t>files/audio/sentences/02_Ngamanpurru_VW.mp3</t>
  </si>
  <si>
    <t>files/audio/sentences/14_Namawurru_VW.mp3</t>
  </si>
  <si>
    <t>files/audio/sentences/13_Kurlartarti_VW.mp3</t>
  </si>
  <si>
    <t>files/audio/sentences/04_Wayita_VW.mp3</t>
  </si>
  <si>
    <t>files/audio/sentences/07_Kinyjirrka_VW.mp3</t>
  </si>
  <si>
    <t>files/audio/sentences/11_Kurtakarla_VW.mp3</t>
  </si>
  <si>
    <t>files/audio/sentences/09_Kaaril_VW.mp3</t>
  </si>
  <si>
    <t>files/audio/sentences/08_Partiki_VW.mp3</t>
  </si>
  <si>
    <t>files/audio/sentences/16_Kunanturu_VW.mp3</t>
  </si>
  <si>
    <t>files/audio/sentences/03_Kinyuwurra_VW.mp3</t>
  </si>
  <si>
    <t>files/audio/sentences/12_Kilipi_VW.mp3</t>
  </si>
  <si>
    <t>files/audio/names/karrajkarraj_VW.mp3</t>
  </si>
  <si>
    <t>files/audio/names/yangunungku_VW.mp3</t>
  </si>
  <si>
    <t>files/audio/names/ngamanpurru_VW.mp3</t>
  </si>
  <si>
    <t>files/audio/names/kurlartarti_VW.mp3</t>
  </si>
  <si>
    <t>files/audio/names/mintaarraj_VW.mp3</t>
  </si>
  <si>
    <t>files/audio/names/wayita_VW.mp3</t>
  </si>
  <si>
    <t>files/audio/names/kinyjirrka_VW.mp3</t>
  </si>
  <si>
    <t>files/audio/names/muying_AC.mp3</t>
  </si>
  <si>
    <t>files/audio/names/kurtakarla_VW1.mp3</t>
  </si>
  <si>
    <t>files/audio/names/kunanturu_VW.mp3</t>
  </si>
  <si>
    <t>files/audio/names/kinyuwurra_VW.mp3</t>
  </si>
  <si>
    <t>files/audio/names/kamara_VW.mp3</t>
  </si>
  <si>
    <t>files/audio/names/ngurlu_SO.mp3</t>
  </si>
  <si>
    <t>files/audio/names/martiya_VW.mp3</t>
  </si>
  <si>
    <t>files/audio/names/wiyinti_VW.mp3</t>
  </si>
  <si>
    <t>files/audio/names/walarri_VW.mp3</t>
  </si>
  <si>
    <t>files/audio/names/kilipi_VW.mp3</t>
  </si>
  <si>
    <t>files/audio/names/tuku_VW.mp3</t>
  </si>
  <si>
    <t>files/audio/sentences/wiyinti_BW_eg1_Ngurnalu.mp3</t>
  </si>
  <si>
    <t>files/audio/sentences/purnku_VW_eg1_Kawarla.mp3</t>
  </si>
  <si>
    <t>Ngungantipangkulu-rla nganany marnani, “Nomo-rnalu partartaj-nginyi. “Nyila-rni manta-rla kanyjurra-nginyi-rni nomo partaj-nginyi. “Nyampawu-ja-rla?” “Ngaja-rla mila janga karrinyana,” kuya. Jiwirri na ngurnalu panana tajkarra kuyany-ja wumara-la. Tajkarra-ma kalypak. Kangarnta wankaj-ju-ma. Kalypak ngurnalu panana tajkarra. Pulwarr nyila nyamu-wa karrinyana nyila-ma-rnalu kamparnana na purirtkarra parnngirri-la.</t>
  </si>
  <si>
    <t>[The old ladies] warned us about this fruit saying, “Don’t get them from the tree. Only collect the ones from on the ground, not the tree.” “Why can’t we?” “Your eyes might become diseased,” they said. The ripe ones we pound on a flat rock. You pound them until they’re soft, particularly if you have bad teeth. The dry ones we cook in a coolamon or on bark with hot rocks.</t>
  </si>
  <si>
    <t>Manjip ngurnalu panani ngamanpurru-ma. Waninyani jurlurl, karnti-nginyi nyamu-rnalu panani jakjak-ma. Kuya. Yalanginyi-ma ngurnalu manani na kanyjurra nyamu-wa waninyani janyja-ka-ma.</t>
  </si>
  <si>
    <t>[To get conkerberry] we hit the tree with a stick. [The fruit] falls to the ground when you do that. Then we collect it from where it falls on the ground.</t>
  </si>
  <si>
    <t>Mangarri-ma-rnalu pakara-yirri manana kuya. Nyila-rla purnku, kinyuwurra-wu yaluwu, nyila-ma kanyjurrak waninya janyja-kurra. Kuya-rla kilkak. Nyawa kilka waninya kuya-partak. Nyawa purnku waninya kuya-rningan.</t>
  </si>
  <si>
    <t>We get the edible part of the bush onion out by rubbing the skin off. The good part falls to the ground. That’s how you clean the skin off. The skin falls one way and the edible part fall another way.</t>
  </si>
  <si>
    <t>These are curry oranges. People used to get water weed to cook them. They would make a hole in the ground. Then they put the fruit and small oven stones in. They would wrap the curry orange up in the water weed and cover it all with paperbark. When curry oranges had steamed soft, they’d eat them.</t>
  </si>
  <si>
    <t>Mintaarraj-ma ngawa-ngka ngulu manani. Kanyjurrak mana-ngka, yalangka na ngulu manani warrkuj yirrngan. Yirr manku ngun kuyangku-ma, yirrngan-jawung. Nyila-ma yirrngan na ngurnalu payarnani kuya-ngku wirlka-yawung-kulu, jangkakarni. Kilkak ngurnalu panani, ngurnalu ngarnani jaartkarra, yirrngan-ma. An kankula na nyamu-wa tuwi manana kankulak. Pinyjal manani ngurnalu-rla. Jaartkarra-waji.</t>
  </si>
  <si>
    <t>We collect waterlilies from creeks. We pull up the bulbs which are located underwater around the roots. You pull up the roots which have the bulbs attached. We chop off the big bulbs with an axe, then cut the skin off and eat it. The flower grows above the water. We open it up to get the inside part out.  It’s also edible.</t>
  </si>
  <si>
    <t>Kurlpap ngulu murlangka yuwanani an kuyangku na ngulu manani kinyjirrka-ma nyila-ma janyja-ka. Kula-n ngalu jaartkarra-ma ngaja-n kamparnana kuyany jilipija-lu. Karankarankarra-pirrji you know kuya-waji. Kilak-ma nyamu-lu manani. Wumara-la na ngulu tajkarra panani wumara-la tajtajkarra. Nyawa ngu waninyani mangarri kuya-partak. Nyawa kuya-partak-ma seed waninyana nyanuny parnngirri. Kangani ngulu, ngarnani ngulu jaartkarra.</t>
  </si>
  <si>
    <t>People heap up the kurrajong seeds and rub them in the dirt. You shouldn’t eat it without doing this in case the hair on the husks stings your mouth. It can make you itchy. Once they clean off the husks, they pound the seeds on a rock. The kernel falls one way and the skin falls another way. Then they pick them up and eat them.</t>
  </si>
  <si>
    <t xml:space="preserve">Kaaril kawujin. Juwaljuwal kuyany. Ngurnalu-rla wirr manani kuyangku-ma. Wirr kuyangku-ma jakjak nyamu-wa yani kanyjurrak talili. Nyila na jiwirri ngurnalu manani warrwarrkuj. Mawukarl ngurnalu tal panana jaartkarra-waji. Mawukarl. Ngurnalu yuwanani kuya janyja-ka, pulurrutkarra kuya janyja-ka pulurrutkarra. Nyamu-n-nga ngalu kula yuwarru pulurrutkarra janyja-ka, nyila-ma-ngku kampawu nyawa-ma. </t>
  </si>
  <si>
    <t>Bush cucumbers have two Gurindji names. It’s a long fruit. We push the clumps of leaves back and let the ripe fruit drop onto the ground. We call the ripe edible fruit ‘mawukarl’. We rub them in the dirt first. If you eat them without doing this, they can sting you.</t>
  </si>
  <si>
    <t>Nyawa, yangunungku, kula kajupari karrinyana mangarri-ma. Nyangku-nku-rla-nga yikili. Ngurnta karrwarnana ngurnta karrwarnana. Ngurnta an jarlarl nyamu-nku-rla nyangku jarlarl. Nyila na mangarri-lu-ma make ‘em manana, swell up janyja you know. Jarlarl na. Ngulu pungana kamparrijang-kulu-ma jartjart ngulu-rla pungani kuya. “Ah nyawa na ngurnta!” Kurrij ngulu pungani yangunungku-ma ngulu paraj pungani. “Ah nyawa-rni-warla mangarri-ma,” kuya. Ngulu pungani ngulu tup manani, mangarri-ma.</t>
  </si>
  <si>
    <t>The tuber of the bush potato is never located close to the plant. You have to look a long way for it. The ground has holes and cracks which you should look for. The tuber makes the ground swell up and crack. People dig for it by pushing back the sand. “Ah here’s the root!” They dig and find the tuber saying “Ah and here’s the potato!” Then they keep digging and pull the potato up.</t>
  </si>
  <si>
    <t>Bush coconuts are found high up. People pound them with a rock at the bottom of the nut to open them and get the edible part.</t>
  </si>
  <si>
    <t>Kurtakarla-ma nyila kankulupal-a karrinyana. Ngulu panana kuyangku wumara-lu-ma kanyjal-nginyi-ma open ‘em jaartkarra-waji.</t>
  </si>
  <si>
    <t>Karnti-ka karrinyana kilipi-ma. Tipit manana karnti-ma kuya kankula karrinyana. Walywalypkarra karrinyana ngu jarrwa karnti-ka. Ngarnu-waji ngu jaartkarrawaji. Nantananta yapayapa ngamurruru.  Nyila-ma-lu kamparnani jurrpara-lu kuya. Kalypa right ngurnalu ngarnana.</t>
  </si>
  <si>
    <t>Bush bananas are found hanging off trees. They tie themselves around branches high up. Heaps of them can be found hanging down from the tree. They’re edible. The small young ones are called ‘ngamurruru’. You can cook them with hot coals to soften them up. They’re easier to eat soft.</t>
  </si>
  <si>
    <t>Karrinyana ngu nyamu-rla waninyana ngawa. Ngurnalu ngarnana kanyjal-nginyi-ma jaartkarra. Jaartkarrawaji ngu marntaj.</t>
  </si>
  <si>
    <t>Bush oranges grow after rain.  We eat them from the bottom up. It’s also edible.</t>
  </si>
  <si>
    <t>files/images/03_Kinyuwurra01_PS.jpg</t>
  </si>
  <si>
    <t>files/images/04_Wayita_GW.jpg</t>
  </si>
  <si>
    <t>files/images/06_Mintaarraj01_PS.jpg</t>
  </si>
  <si>
    <t>files/images/07_Kinyjirrka_IMG_6296_PS.jpg</t>
  </si>
  <si>
    <t>files/images/08_Partiki_IMG_6237_PS.jpg</t>
  </si>
  <si>
    <t>files/images/09_Kaaril_PS.jpeg</t>
  </si>
  <si>
    <t>files/images/14_Ngarlu_GW.jpg</t>
  </si>
  <si>
    <t>files/images/16_Kunanturu_PS.jpg</t>
  </si>
  <si>
    <t>https://www.ictv.com.au/video/5014-ngarlu-sugarbag</t>
  </si>
  <si>
    <t>https://www.ictv.com.au/video/5015-kawurn-tobacco-ashes</t>
  </si>
  <si>
    <t>https://www.ictv.com.au/video/5017-kinyuwurra-bush-onions</t>
  </si>
  <si>
    <t>https://www.ictv.com.au/video/5006-kamara-black-soil-yams</t>
  </si>
  <si>
    <t>https://www.ictv.com.au/video/5005-kilipi-bush-bananas</t>
  </si>
  <si>
    <t>#karrajkarraj</t>
  </si>
  <si>
    <t>#yangunungu</t>
  </si>
  <si>
    <t>#ngamanpurru</t>
  </si>
  <si>
    <t>#ngarlu</t>
  </si>
  <si>
    <t>#kurlartarti</t>
  </si>
  <si>
    <t>#mintarraj</t>
  </si>
  <si>
    <t>#wayita</t>
  </si>
  <si>
    <t>#kinyjirrka</t>
  </si>
  <si>
    <t>#muying</t>
  </si>
  <si>
    <t>#kurtakarla</t>
  </si>
  <si>
    <t>#kaaril</t>
  </si>
  <si>
    <t>#partiki</t>
  </si>
  <si>
    <t>#kunanturu</t>
  </si>
  <si>
    <t>#kinyuwurra</t>
  </si>
  <si>
    <t>#kamara</t>
  </si>
  <si>
    <t>#ngurlu</t>
  </si>
  <si>
    <t>#martiya</t>
  </si>
  <si>
    <t>#wiyinti</t>
  </si>
  <si>
    <t>#walarri</t>
  </si>
  <si>
    <t>#kilipi</t>
  </si>
  <si>
    <t>#tuku</t>
  </si>
  <si>
    <t>files/audio/sentences/06_Mintaarraj_VW.mp3</t>
  </si>
  <si>
    <t>arcp://name,custom/terms#photographerName</t>
  </si>
  <si>
    <t>the name of the photograpger for the associated image</t>
  </si>
  <si>
    <t>arcp://name,custom/terms#videoLink</t>
  </si>
  <si>
    <t>videoLink</t>
  </si>
  <si>
    <t>link to a video</t>
  </si>
  <si>
    <t>arcp://name,custom/terms#speaker</t>
  </si>
  <si>
    <t>speaker</t>
  </si>
  <si>
    <t>the speaker associated with this entry</t>
  </si>
  <si>
    <t>custom:video_link</t>
  </si>
  <si>
    <t>custom:photographerName</t>
  </si>
  <si>
    <t>isRef_custom:speaker</t>
  </si>
  <si>
    <t>Person</t>
  </si>
  <si>
    <t>about/speaker-headshots/VioletWadrill.jpg</t>
  </si>
  <si>
    <t>about/speaker-headshots/BiddyWavehill.jpg</t>
  </si>
  <si>
    <t>Bush Tucker</t>
  </si>
  <si>
    <t>Gurindji bush tucker</t>
  </si>
  <si>
    <t>files/images/karrajkarraj.jpg</t>
  </si>
  <si>
    <t>files/images/Mardiya.jpg</t>
  </si>
  <si>
    <t>files/images/Yangunungku_02.jpg</t>
  </si>
  <si>
    <t>files/audio/names/kaaril_VW.mp3</t>
  </si>
  <si>
    <t>Karrajkarraj-ma. Nyila na ngulu-rla manani marlin-ma. Kurrku ngulu-rla kuya na kurrku pirrkap manani. Yuwanani ngulu murlangka-ma. Ngulu-rla wumara yuwanani kuruwarrany yapayapa. Jakarr ngulu manani yalangku marlin-tu-ma. Yalanginyi-ma pakarli-lu na jakarr kankulupal-a-nginyi-ma. Nyamu jiyarnani kalypak-ma ngulu ngarnani jaartkarra na.</t>
  </si>
  <si>
    <t>files/audio/sentences/kamara_VW.mp3</t>
  </si>
  <si>
    <t>files/audio/sentences/martiya_VW.mp3</t>
  </si>
  <si>
    <t>files/audio/sentences/01_Muying_VW.mp3</t>
  </si>
  <si>
    <t>files/audio/names/ngarlu_AC.mp3</t>
  </si>
  <si>
    <t>Kawarla-la na ngulu, manani warlmip-ma kawarla-la-ma, warlmip. Kilka waninyani ngu kuyapartak, purnku na. Nyawa waninyani jilipija-ma kuyapartak, jurlurl. Nyawa-nginyi-ma, ngulu yuwanani kawarla-la-ma ngurnalu, nguyinangulu, jayingani na ngurnalu yuwanani nyila-ma kilka-ma. Ngawa-ngku ngulu kuya malykmalyk kunyjanani jaartkarra ngurnalu ngarnani. Nyila-ma, pirlkiya-ma nyawa-ma waninyani kuyapartak-ma jurlurl-ma. Nyila-ma purnku-ma. Jilipija-ma, nyila-ma ngulu manani kuya gigin. Ngulu yuwanani. Ngawa-yawung-kulu ngurnalu luwanani jaartkarra. Jangkakarni-lu yapayapa-lu. Laik nyamu-rnalu karrinyani tanku-murlung-kula yu nou, ngantipa.</t>
  </si>
  <si>
    <t>They used to winnow (seed) in a coolamon. The good part would fall down one way clean (separated from the husks). And the husks would spill over the other way. After that they would put it in another coolamon. They showed us so we know how to put the seed in the coolamon. They used to sprinkle water on it and then eat it. It's the white one that spills out this way. That's the good grain. And it was the husks that they would separate from it. Then they'd put it [in a coolamon]. We'd eat it mixed with water. Adults and kids alike. Like during the times we had no food.</t>
  </si>
  <si>
    <t>files/audio/names/partiki_VW.mp3</t>
  </si>
  <si>
    <t>files/audio/sentences/Walarri_VW.mp3</t>
  </si>
  <si>
    <t>Nicole Zicchino showing Rosemary Johnson cooking damper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</si>
</sst>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b/>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0" borderId="0" xfId="0" applyAlignment="1">
      <alignment wrapText="1"/>
    </xf>
    <xf numFmtId="0" fontId="2" fillId="0" borderId="0" xfId="1" applyAlignment="1">
      <alignment vertical="center" wrapText="1"/>
    </xf>
    <xf numFmtId="0" fontId="3" fillId="0" borderId="0" xfId="0" applyFont="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ictv.com.au/video/5015-kawurn-tobacco-ashes" TargetMode="External"/><Relationship Id="rId2" Type="http://schemas.openxmlformats.org/officeDocument/2006/relationships/hyperlink" Target="https://www.ictv.com.au/video/5014-ngarlu-sugarbag" TargetMode="External"/><Relationship Id="rId1" Type="http://schemas.openxmlformats.org/officeDocument/2006/relationships/hyperlink" Target="https://creativecommons.org/licenses/by/4.0/" TargetMode="External"/><Relationship Id="rId6" Type="http://schemas.openxmlformats.org/officeDocument/2006/relationships/hyperlink" Target="https://www.ictv.com.au/video/5005-kilipi-bush-bananas" TargetMode="External"/><Relationship Id="rId5" Type="http://schemas.openxmlformats.org/officeDocument/2006/relationships/hyperlink" Target="https://www.ictv.com.au/video/5006-kamara-black-soil-yams" TargetMode="External"/><Relationship Id="rId4" Type="http://schemas.openxmlformats.org/officeDocument/2006/relationships/hyperlink" Target="https://www.ictv.com.au/video/5017-kinyuwurra-bush-on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5" sqref="B5"/>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269</v>
      </c>
    </row>
    <row r="5" spans="1:2" x14ac:dyDescent="0.2">
      <c r="A5" t="s">
        <v>6</v>
      </c>
      <c r="B5" t="s">
        <v>270</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
  <sheetViews>
    <sheetView tabSelected="1" topLeftCell="A17" zoomScale="97" zoomScaleNormal="97" workbookViewId="0">
      <pane xSplit="3" topLeftCell="K1" activePane="topRight" state="frozen"/>
      <selection pane="topRight" activeCell="L17" sqref="L17"/>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6" width="30.6640625" style="3" customWidth="1"/>
    <col min="17" max="17" width="38.83203125" style="3" customWidth="1"/>
    <col min="18" max="16384" width="8.83203125" style="3"/>
  </cols>
  <sheetData>
    <row r="1" spans="1:17" ht="48" x14ac:dyDescent="0.2">
      <c r="A1" s="4" t="s">
        <v>2</v>
      </c>
      <c r="B1" s="2" t="s">
        <v>4</v>
      </c>
      <c r="C1" s="2" t="s">
        <v>0</v>
      </c>
      <c r="D1" s="2" t="s">
        <v>57</v>
      </c>
      <c r="E1" s="2" t="s">
        <v>13</v>
      </c>
      <c r="F1" s="2" t="s">
        <v>265</v>
      </c>
      <c r="G1" s="2" t="s">
        <v>14</v>
      </c>
      <c r="H1" s="2" t="s">
        <v>15</v>
      </c>
      <c r="I1" s="2" t="s">
        <v>16</v>
      </c>
      <c r="J1" s="2" t="s">
        <v>17</v>
      </c>
      <c r="K1" s="2" t="s">
        <v>18</v>
      </c>
      <c r="L1" s="2" t="s">
        <v>264</v>
      </c>
      <c r="M1" s="2" t="s">
        <v>19</v>
      </c>
      <c r="N1" s="2" t="s">
        <v>20</v>
      </c>
      <c r="O1" s="2" t="s">
        <v>21</v>
      </c>
      <c r="P1" s="2" t="s">
        <v>22</v>
      </c>
      <c r="Q1" s="8" t="s">
        <v>263</v>
      </c>
    </row>
    <row r="2" spans="1:17" ht="176" x14ac:dyDescent="0.2">
      <c r="A2" s="5" t="str">
        <f t="shared" ref="A2:A18" si="0">_xlfn.CONCAT("#", C2)</f>
        <v>#karrajkarraj</v>
      </c>
      <c r="B2" s="3" t="s">
        <v>23</v>
      </c>
      <c r="C2" s="3" t="s">
        <v>68</v>
      </c>
      <c r="E2" s="3" t="s">
        <v>3</v>
      </c>
      <c r="F2" s="3" t="s">
        <v>59</v>
      </c>
      <c r="G2" s="3" t="s">
        <v>24</v>
      </c>
      <c r="H2" s="3" t="s">
        <v>25</v>
      </c>
      <c r="I2" s="3" t="s">
        <v>70</v>
      </c>
      <c r="J2" s="3" t="s">
        <v>275</v>
      </c>
      <c r="K2" s="3" t="s">
        <v>205</v>
      </c>
      <c r="L2" s="3" t="s">
        <v>67</v>
      </c>
      <c r="M2" s="3" t="s">
        <v>69</v>
      </c>
      <c r="N2" s="3" t="s">
        <v>271</v>
      </c>
      <c r="O2" s="3" t="s">
        <v>179</v>
      </c>
      <c r="P2" s="3" t="s">
        <v>166</v>
      </c>
    </row>
    <row r="3" spans="1:17" ht="240" x14ac:dyDescent="0.2">
      <c r="A3" s="5" t="str">
        <f t="shared" si="0"/>
        <v>#yangunungu</v>
      </c>
      <c r="B3" s="3" t="s">
        <v>23</v>
      </c>
      <c r="C3" s="3" t="s">
        <v>71</v>
      </c>
      <c r="D3" s="3" t="s">
        <v>61</v>
      </c>
      <c r="E3" s="3" t="s">
        <v>3</v>
      </c>
      <c r="F3" s="3" t="s">
        <v>64</v>
      </c>
      <c r="G3" s="3" t="s">
        <v>24</v>
      </c>
      <c r="H3" s="3" t="s">
        <v>25</v>
      </c>
      <c r="I3" s="3" t="s">
        <v>72</v>
      </c>
      <c r="J3" s="3" t="s">
        <v>212</v>
      </c>
      <c r="K3" s="3" t="s">
        <v>213</v>
      </c>
      <c r="L3" s="3" t="s">
        <v>153</v>
      </c>
      <c r="M3" s="3" t="s">
        <v>73</v>
      </c>
      <c r="N3" s="3" t="s">
        <v>273</v>
      </c>
      <c r="O3" s="3" t="s">
        <v>180</v>
      </c>
      <c r="P3" s="3" t="s">
        <v>167</v>
      </c>
      <c r="Q3" s="7"/>
    </row>
    <row r="4" spans="1:17" ht="96" x14ac:dyDescent="0.2">
      <c r="A4" s="5" t="str">
        <f t="shared" si="0"/>
        <v>#ngamanpurru</v>
      </c>
      <c r="B4" s="3" t="s">
        <v>23</v>
      </c>
      <c r="C4" s="3" t="s">
        <v>77</v>
      </c>
      <c r="E4" s="3" t="s">
        <v>3</v>
      </c>
      <c r="F4" s="3" t="s">
        <v>59</v>
      </c>
      <c r="G4" s="3" t="s">
        <v>24</v>
      </c>
      <c r="H4" s="3" t="s">
        <v>25</v>
      </c>
      <c r="I4" s="3" t="s">
        <v>76</v>
      </c>
      <c r="J4" s="3" t="s">
        <v>201</v>
      </c>
      <c r="K4" s="3" t="s">
        <v>202</v>
      </c>
      <c r="L4" s="3" t="s">
        <v>75</v>
      </c>
      <c r="M4" s="3" t="s">
        <v>74</v>
      </c>
      <c r="N4" s="3" t="s">
        <v>146</v>
      </c>
      <c r="O4" s="3" t="s">
        <v>181</v>
      </c>
      <c r="P4" s="3" t="s">
        <v>168</v>
      </c>
    </row>
    <row r="5" spans="1:17" ht="409.6" x14ac:dyDescent="0.2">
      <c r="A5" s="5" t="str">
        <f t="shared" si="0"/>
        <v>#ngarlu</v>
      </c>
      <c r="B5" s="3" t="s">
        <v>23</v>
      </c>
      <c r="C5" s="3" t="s">
        <v>78</v>
      </c>
      <c r="D5" s="3" t="s">
        <v>79</v>
      </c>
      <c r="E5" s="3" t="s">
        <v>3</v>
      </c>
      <c r="F5" s="3" t="s">
        <v>59</v>
      </c>
      <c r="G5" s="3" t="s">
        <v>24</v>
      </c>
      <c r="H5" s="3" t="s">
        <v>25</v>
      </c>
      <c r="I5" s="3" t="s">
        <v>80</v>
      </c>
      <c r="J5" s="3" t="s">
        <v>138</v>
      </c>
      <c r="K5" s="3" t="s">
        <v>137</v>
      </c>
      <c r="L5" s="3" t="s">
        <v>164</v>
      </c>
      <c r="M5" s="3" t="s">
        <v>82</v>
      </c>
      <c r="N5" s="3" t="s">
        <v>226</v>
      </c>
      <c r="O5" s="3" t="s">
        <v>279</v>
      </c>
      <c r="P5" s="3" t="s">
        <v>169</v>
      </c>
      <c r="Q5" s="7" t="s">
        <v>228</v>
      </c>
    </row>
    <row r="6" spans="1:17" ht="64" x14ac:dyDescent="0.2">
      <c r="A6" s="5" t="str">
        <f t="shared" si="0"/>
        <v>#kurlartarti</v>
      </c>
      <c r="B6" s="3" t="s">
        <v>23</v>
      </c>
      <c r="C6" s="3" t="s">
        <v>85</v>
      </c>
      <c r="E6" s="3" t="s">
        <v>3</v>
      </c>
      <c r="F6" s="3" t="s">
        <v>59</v>
      </c>
      <c r="G6" s="3" t="s">
        <v>24</v>
      </c>
      <c r="H6" s="3" t="s">
        <v>25</v>
      </c>
      <c r="I6" s="3" t="s">
        <v>84</v>
      </c>
      <c r="J6" s="3" t="s">
        <v>218</v>
      </c>
      <c r="K6" s="3" t="s">
        <v>219</v>
      </c>
      <c r="L6" s="3" t="s">
        <v>75</v>
      </c>
      <c r="M6" s="3" t="s">
        <v>83</v>
      </c>
      <c r="N6" s="3" t="s">
        <v>145</v>
      </c>
      <c r="O6" s="3" t="s">
        <v>182</v>
      </c>
      <c r="P6" s="3" t="s">
        <v>170</v>
      </c>
    </row>
    <row r="7" spans="1:17" ht="192" x14ac:dyDescent="0.2">
      <c r="A7" s="5" t="str">
        <f t="shared" si="0"/>
        <v>#mintarraj</v>
      </c>
      <c r="B7" s="3" t="s">
        <v>23</v>
      </c>
      <c r="C7" s="3" t="s">
        <v>86</v>
      </c>
      <c r="E7" s="3" t="s">
        <v>3</v>
      </c>
      <c r="F7" s="3" t="s">
        <v>59</v>
      </c>
      <c r="G7" s="3" t="s">
        <v>24</v>
      </c>
      <c r="H7" s="3" t="s">
        <v>25</v>
      </c>
      <c r="I7" s="3" t="s">
        <v>87</v>
      </c>
      <c r="J7" s="3" t="s">
        <v>206</v>
      </c>
      <c r="K7" s="3" t="s">
        <v>207</v>
      </c>
      <c r="L7" s="3" t="s">
        <v>67</v>
      </c>
      <c r="M7" s="3" t="s">
        <v>88</v>
      </c>
      <c r="N7" s="3" t="s">
        <v>222</v>
      </c>
      <c r="O7" s="3" t="s">
        <v>183</v>
      </c>
      <c r="P7" s="3" t="s">
        <v>254</v>
      </c>
    </row>
    <row r="8" spans="1:17" ht="48" x14ac:dyDescent="0.2">
      <c r="A8" s="5" t="str">
        <f t="shared" si="0"/>
        <v>#wayita</v>
      </c>
      <c r="B8" s="3" t="s">
        <v>23</v>
      </c>
      <c r="C8" s="3" t="s">
        <v>90</v>
      </c>
      <c r="E8" s="3" t="s">
        <v>3</v>
      </c>
      <c r="F8" s="3" t="s">
        <v>59</v>
      </c>
      <c r="G8" s="3" t="s">
        <v>24</v>
      </c>
      <c r="H8" s="3" t="s">
        <v>25</v>
      </c>
      <c r="I8" s="3" t="s">
        <v>91</v>
      </c>
      <c r="J8" s="3" t="s">
        <v>139</v>
      </c>
      <c r="K8" s="3" t="s">
        <v>140</v>
      </c>
      <c r="L8" s="3" t="s">
        <v>164</v>
      </c>
      <c r="M8" s="3" t="s">
        <v>89</v>
      </c>
      <c r="N8" s="3" t="s">
        <v>221</v>
      </c>
      <c r="O8" s="3" t="s">
        <v>184</v>
      </c>
      <c r="P8" s="3" t="s">
        <v>171</v>
      </c>
    </row>
    <row r="9" spans="1:17" ht="224" x14ac:dyDescent="0.2">
      <c r="A9" s="5" t="str">
        <f t="shared" si="0"/>
        <v>#kinyjirrka</v>
      </c>
      <c r="B9" s="3" t="s">
        <v>23</v>
      </c>
      <c r="C9" s="3" t="s">
        <v>92</v>
      </c>
      <c r="E9" s="3" t="s">
        <v>3</v>
      </c>
      <c r="F9" s="3" t="s">
        <v>59</v>
      </c>
      <c r="G9" s="3" t="s">
        <v>24</v>
      </c>
      <c r="H9" s="3" t="s">
        <v>25</v>
      </c>
      <c r="I9" s="3" t="s">
        <v>93</v>
      </c>
      <c r="J9" s="3" t="s">
        <v>208</v>
      </c>
      <c r="K9" s="3" t="s">
        <v>209</v>
      </c>
      <c r="L9" s="3" t="s">
        <v>67</v>
      </c>
      <c r="M9" s="3" t="s">
        <v>94</v>
      </c>
      <c r="N9" s="3" t="s">
        <v>223</v>
      </c>
      <c r="O9" s="3" t="s">
        <v>185</v>
      </c>
      <c r="P9" s="3" t="s">
        <v>172</v>
      </c>
    </row>
    <row r="10" spans="1:17" ht="208" x14ac:dyDescent="0.2">
      <c r="A10" s="5" t="str">
        <f t="shared" si="0"/>
        <v>#muying</v>
      </c>
      <c r="B10" s="3" t="s">
        <v>23</v>
      </c>
      <c r="C10" s="3" t="s">
        <v>97</v>
      </c>
      <c r="E10" s="3" t="s">
        <v>3</v>
      </c>
      <c r="F10" s="3" t="s">
        <v>59</v>
      </c>
      <c r="G10" s="3" t="s">
        <v>24</v>
      </c>
      <c r="H10" s="3" t="s">
        <v>25</v>
      </c>
      <c r="I10" s="3" t="s">
        <v>96</v>
      </c>
      <c r="J10" s="3" t="s">
        <v>199</v>
      </c>
      <c r="K10" s="3" t="s">
        <v>200</v>
      </c>
      <c r="L10" s="3" t="s">
        <v>153</v>
      </c>
      <c r="M10" s="3" t="s">
        <v>95</v>
      </c>
      <c r="N10" s="3" t="s">
        <v>152</v>
      </c>
      <c r="O10" s="3" t="s">
        <v>186</v>
      </c>
      <c r="P10" s="3" t="s">
        <v>278</v>
      </c>
    </row>
    <row r="11" spans="1:17" ht="64" x14ac:dyDescent="0.2">
      <c r="A11" s="5" t="str">
        <f t="shared" si="0"/>
        <v>#kurtakarla</v>
      </c>
      <c r="B11" s="3" t="s">
        <v>23</v>
      </c>
      <c r="C11" s="3" t="s">
        <v>98</v>
      </c>
      <c r="E11" s="3" t="s">
        <v>3</v>
      </c>
      <c r="F11" s="3" t="s">
        <v>59</v>
      </c>
      <c r="G11" s="3" t="s">
        <v>24</v>
      </c>
      <c r="H11" s="3" t="s">
        <v>25</v>
      </c>
      <c r="I11" s="3" t="s">
        <v>99</v>
      </c>
      <c r="J11" s="3" t="s">
        <v>215</v>
      </c>
      <c r="K11" s="3" t="s">
        <v>214</v>
      </c>
      <c r="L11" s="3" t="s">
        <v>75</v>
      </c>
      <c r="M11" s="3" t="s">
        <v>100</v>
      </c>
      <c r="N11" s="3" t="s">
        <v>162</v>
      </c>
      <c r="O11" s="3" t="s">
        <v>187</v>
      </c>
      <c r="P11" s="3" t="s">
        <v>173</v>
      </c>
    </row>
    <row r="12" spans="1:17" ht="192" x14ac:dyDescent="0.2">
      <c r="A12" s="5" t="str">
        <f t="shared" si="0"/>
        <v>#kaaril</v>
      </c>
      <c r="B12" s="3" t="s">
        <v>23</v>
      </c>
      <c r="C12" s="3" t="s">
        <v>104</v>
      </c>
      <c r="D12" s="3" t="s">
        <v>103</v>
      </c>
      <c r="E12" s="3" t="s">
        <v>3</v>
      </c>
      <c r="F12" s="3" t="s">
        <v>59</v>
      </c>
      <c r="G12" s="3" t="s">
        <v>24</v>
      </c>
      <c r="H12" s="3" t="s">
        <v>25</v>
      </c>
      <c r="I12" s="3" t="s">
        <v>102</v>
      </c>
      <c r="J12" s="3" t="s">
        <v>210</v>
      </c>
      <c r="K12" s="3" t="s">
        <v>211</v>
      </c>
      <c r="L12" s="3" t="s">
        <v>67</v>
      </c>
      <c r="M12" s="3" t="s">
        <v>101</v>
      </c>
      <c r="N12" s="3" t="s">
        <v>225</v>
      </c>
      <c r="O12" s="3" t="s">
        <v>274</v>
      </c>
      <c r="P12" s="3" t="s">
        <v>174</v>
      </c>
    </row>
    <row r="13" spans="1:17" ht="112" x14ac:dyDescent="0.2">
      <c r="A13" s="5" t="str">
        <f t="shared" si="0"/>
        <v>#partiki</v>
      </c>
      <c r="B13" s="3" t="s">
        <v>23</v>
      </c>
      <c r="C13" s="3" t="s">
        <v>105</v>
      </c>
      <c r="E13" s="3" t="s">
        <v>3</v>
      </c>
      <c r="F13" s="3" t="s">
        <v>59</v>
      </c>
      <c r="G13" s="3" t="s">
        <v>24</v>
      </c>
      <c r="H13" s="7" t="s">
        <v>25</v>
      </c>
      <c r="I13" s="3" t="s">
        <v>106</v>
      </c>
      <c r="J13" s="3" t="s">
        <v>141</v>
      </c>
      <c r="K13" s="3" t="s">
        <v>142</v>
      </c>
      <c r="L13" s="3" t="s">
        <v>67</v>
      </c>
      <c r="M13" s="3" t="s">
        <v>107</v>
      </c>
      <c r="N13" s="3" t="s">
        <v>224</v>
      </c>
      <c r="O13" s="3" t="s">
        <v>282</v>
      </c>
      <c r="P13" s="3" t="s">
        <v>175</v>
      </c>
    </row>
    <row r="14" spans="1:17" ht="80" x14ac:dyDescent="0.2">
      <c r="A14" s="5" t="str">
        <f t="shared" si="0"/>
        <v>#kunanturu</v>
      </c>
      <c r="B14" s="3" t="s">
        <v>23</v>
      </c>
      <c r="C14" s="3" t="s">
        <v>110</v>
      </c>
      <c r="E14" s="3" t="s">
        <v>3</v>
      </c>
      <c r="F14" s="3" t="s">
        <v>59</v>
      </c>
      <c r="G14" s="3" t="s">
        <v>24</v>
      </c>
      <c r="H14" s="3" t="s">
        <v>25</v>
      </c>
      <c r="I14" s="3" t="s">
        <v>109</v>
      </c>
      <c r="J14" s="3" t="s">
        <v>143</v>
      </c>
      <c r="K14" s="3" t="s">
        <v>144</v>
      </c>
      <c r="L14" s="3" t="s">
        <v>67</v>
      </c>
      <c r="M14" s="3" t="s">
        <v>108</v>
      </c>
      <c r="N14" s="3" t="s">
        <v>227</v>
      </c>
      <c r="O14" s="3" t="s">
        <v>188</v>
      </c>
      <c r="P14" s="3" t="s">
        <v>176</v>
      </c>
    </row>
    <row r="15" spans="1:17" ht="112" x14ac:dyDescent="0.2">
      <c r="A15" s="5" t="str">
        <f t="shared" si="0"/>
        <v>#kinyuwurra</v>
      </c>
      <c r="B15" s="3" t="s">
        <v>23</v>
      </c>
      <c r="C15" s="3" t="s">
        <v>111</v>
      </c>
      <c r="E15" s="3" t="s">
        <v>3</v>
      </c>
      <c r="F15" s="3" t="s">
        <v>59</v>
      </c>
      <c r="G15" s="3" t="s">
        <v>24</v>
      </c>
      <c r="H15" s="3" t="s">
        <v>25</v>
      </c>
      <c r="I15" s="3" t="s">
        <v>112</v>
      </c>
      <c r="J15" s="3" t="s">
        <v>203</v>
      </c>
      <c r="K15" s="3" t="s">
        <v>204</v>
      </c>
      <c r="L15" s="3" t="s">
        <v>67</v>
      </c>
      <c r="M15" s="3" t="s">
        <v>62</v>
      </c>
      <c r="N15" s="3" t="s">
        <v>220</v>
      </c>
      <c r="O15" s="3" t="s">
        <v>189</v>
      </c>
      <c r="P15" s="3" t="s">
        <v>177</v>
      </c>
      <c r="Q15" s="7" t="s">
        <v>230</v>
      </c>
    </row>
    <row r="16" spans="1:17" ht="144" x14ac:dyDescent="0.2">
      <c r="A16" s="5" t="str">
        <f t="shared" si="0"/>
        <v>#kamara</v>
      </c>
      <c r="B16" s="3" t="s">
        <v>23</v>
      </c>
      <c r="C16" s="3" t="s">
        <v>117</v>
      </c>
      <c r="D16" s="3" t="s">
        <v>118</v>
      </c>
      <c r="E16" s="3" t="s">
        <v>3</v>
      </c>
      <c r="F16" s="3" t="s">
        <v>59</v>
      </c>
      <c r="G16" s="3" t="s">
        <v>24</v>
      </c>
      <c r="H16" s="3" t="s">
        <v>25</v>
      </c>
      <c r="I16" s="3" t="s">
        <v>114</v>
      </c>
      <c r="J16" s="3" t="s">
        <v>113</v>
      </c>
      <c r="K16" s="3" t="s">
        <v>115</v>
      </c>
      <c r="L16" s="3" t="s">
        <v>151</v>
      </c>
      <c r="M16" s="3" t="s">
        <v>116</v>
      </c>
      <c r="N16" s="3" t="s">
        <v>150</v>
      </c>
      <c r="O16" s="3" t="s">
        <v>190</v>
      </c>
      <c r="P16" s="3" t="s">
        <v>276</v>
      </c>
      <c r="Q16" s="7" t="s">
        <v>231</v>
      </c>
    </row>
    <row r="17" spans="1:17" ht="304" x14ac:dyDescent="0.2">
      <c r="A17" s="5" t="str">
        <f t="shared" si="0"/>
        <v>#ngurlu</v>
      </c>
      <c r="B17" s="3" t="s">
        <v>23</v>
      </c>
      <c r="C17" s="3" t="s">
        <v>119</v>
      </c>
      <c r="E17" s="3" t="s">
        <v>3</v>
      </c>
      <c r="F17" s="3" t="s">
        <v>59</v>
      </c>
      <c r="G17" s="3" t="s">
        <v>24</v>
      </c>
      <c r="H17" s="3" t="s">
        <v>25</v>
      </c>
      <c r="I17" s="3" t="s">
        <v>120</v>
      </c>
      <c r="J17" s="3" t="s">
        <v>280</v>
      </c>
      <c r="K17" s="3" t="s">
        <v>281</v>
      </c>
      <c r="L17" s="3" t="s">
        <v>284</v>
      </c>
      <c r="M17" s="3" t="s">
        <v>121</v>
      </c>
      <c r="N17" s="3" t="s">
        <v>163</v>
      </c>
      <c r="O17" s="3" t="s">
        <v>191</v>
      </c>
      <c r="P17" s="3" t="s">
        <v>198</v>
      </c>
    </row>
    <row r="18" spans="1:17" ht="128" x14ac:dyDescent="0.2">
      <c r="A18" s="5" t="str">
        <f t="shared" si="0"/>
        <v>#martiya</v>
      </c>
      <c r="B18" s="3" t="s">
        <v>23</v>
      </c>
      <c r="C18" s="3" t="s">
        <v>122</v>
      </c>
      <c r="E18" s="3" t="s">
        <v>3</v>
      </c>
      <c r="F18" s="3" t="s">
        <v>59</v>
      </c>
      <c r="G18" s="3" t="s">
        <v>24</v>
      </c>
      <c r="H18" s="3" t="s">
        <v>25</v>
      </c>
      <c r="I18" s="3" t="s">
        <v>123</v>
      </c>
      <c r="J18" s="3" t="s">
        <v>125</v>
      </c>
      <c r="K18" s="3" t="s">
        <v>124</v>
      </c>
      <c r="L18" s="3" t="s">
        <v>156</v>
      </c>
      <c r="M18" s="3" t="s">
        <v>126</v>
      </c>
      <c r="N18" s="3" t="s">
        <v>272</v>
      </c>
      <c r="O18" s="3" t="s">
        <v>192</v>
      </c>
      <c r="P18" s="3" t="s">
        <v>277</v>
      </c>
    </row>
    <row r="19" spans="1:17" ht="144" x14ac:dyDescent="0.2">
      <c r="A19" s="5" t="str">
        <f t="shared" ref="A19:A20" si="1">_xlfn.CONCAT("#", C19)</f>
        <v>#wiyinti</v>
      </c>
      <c r="B19" s="3" t="s">
        <v>23</v>
      </c>
      <c r="C19" s="3" t="s">
        <v>127</v>
      </c>
      <c r="E19" s="3" t="s">
        <v>3</v>
      </c>
      <c r="F19" s="3" t="s">
        <v>64</v>
      </c>
      <c r="G19" s="3" t="s">
        <v>24</v>
      </c>
      <c r="H19" s="3" t="s">
        <v>25</v>
      </c>
      <c r="I19" s="3" t="s">
        <v>128</v>
      </c>
      <c r="J19" s="3" t="s">
        <v>129</v>
      </c>
      <c r="K19" s="3" t="s">
        <v>130</v>
      </c>
      <c r="L19" s="3" t="s">
        <v>81</v>
      </c>
      <c r="M19" s="3" t="s">
        <v>131</v>
      </c>
      <c r="N19" s="3" t="s">
        <v>165</v>
      </c>
      <c r="O19" s="3" t="s">
        <v>193</v>
      </c>
      <c r="P19" s="3" t="s">
        <v>197</v>
      </c>
    </row>
    <row r="20" spans="1:17" ht="144" x14ac:dyDescent="0.2">
      <c r="A20" s="5" t="str">
        <f t="shared" si="1"/>
        <v>#walarri</v>
      </c>
      <c r="B20" s="3" t="s">
        <v>23</v>
      </c>
      <c r="C20" s="3" t="s">
        <v>135</v>
      </c>
      <c r="E20" s="3" t="s">
        <v>3</v>
      </c>
      <c r="F20" s="3" t="s">
        <v>59</v>
      </c>
      <c r="G20" s="3" t="s">
        <v>24</v>
      </c>
      <c r="H20" s="3" t="s">
        <v>25</v>
      </c>
      <c r="I20" s="3" t="s">
        <v>136</v>
      </c>
      <c r="J20" s="3" t="s">
        <v>134</v>
      </c>
      <c r="K20" s="3" t="s">
        <v>133</v>
      </c>
      <c r="L20" s="3" t="s">
        <v>156</v>
      </c>
      <c r="M20" s="3" t="s">
        <v>132</v>
      </c>
      <c r="N20" s="3" t="s">
        <v>161</v>
      </c>
      <c r="O20" s="3" t="s">
        <v>194</v>
      </c>
      <c r="P20" s="3" t="s">
        <v>283</v>
      </c>
      <c r="Q20" s="7" t="s">
        <v>229</v>
      </c>
    </row>
    <row r="21" spans="1:17" ht="128" x14ac:dyDescent="0.2">
      <c r="A21" s="5" t="str">
        <f t="shared" ref="A21" si="2">_xlfn.CONCAT("#", C21)</f>
        <v>#kilipi</v>
      </c>
      <c r="B21" s="3" t="s">
        <v>23</v>
      </c>
      <c r="C21" s="3" t="s">
        <v>147</v>
      </c>
      <c r="E21" s="3" t="s">
        <v>3</v>
      </c>
      <c r="F21" s="3" t="s">
        <v>59</v>
      </c>
      <c r="G21" s="3" t="s">
        <v>24</v>
      </c>
      <c r="H21" s="3" t="s">
        <v>25</v>
      </c>
      <c r="I21" s="3" t="s">
        <v>160</v>
      </c>
      <c r="J21" s="3" t="s">
        <v>216</v>
      </c>
      <c r="K21" s="3" t="s">
        <v>217</v>
      </c>
      <c r="L21" s="3" t="s">
        <v>67</v>
      </c>
      <c r="M21" s="3" t="s">
        <v>148</v>
      </c>
      <c r="N21" s="3" t="s">
        <v>149</v>
      </c>
      <c r="O21" s="3" t="s">
        <v>195</v>
      </c>
      <c r="P21" s="3" t="s">
        <v>178</v>
      </c>
      <c r="Q21" s="7" t="s">
        <v>232</v>
      </c>
    </row>
    <row r="22" spans="1:17" ht="224" x14ac:dyDescent="0.2">
      <c r="A22" s="5" t="str">
        <f>_xlfn.CONCAT("#", C22)</f>
        <v>#tuku</v>
      </c>
      <c r="B22" s="3" t="s">
        <v>23</v>
      </c>
      <c r="C22" s="3" t="s">
        <v>154</v>
      </c>
      <c r="E22" s="3" t="s">
        <v>3</v>
      </c>
      <c r="F22" s="3" t="s">
        <v>59</v>
      </c>
      <c r="G22" s="3" t="s">
        <v>24</v>
      </c>
      <c r="H22" s="3" t="s">
        <v>25</v>
      </c>
      <c r="I22" s="3" t="s">
        <v>159</v>
      </c>
      <c r="K22" s="3" t="s">
        <v>155</v>
      </c>
      <c r="L22" s="3" t="s">
        <v>156</v>
      </c>
      <c r="M22" s="3" t="s">
        <v>158</v>
      </c>
      <c r="N22" s="3" t="s">
        <v>157</v>
      </c>
      <c r="O22" s="3" t="s">
        <v>196</v>
      </c>
    </row>
  </sheetData>
  <hyperlinks>
    <hyperlink ref="H13" r:id="rId1" xr:uid="{62CF2E82-424C-BA41-9FE4-78AECE9784E5}"/>
    <hyperlink ref="Q5" r:id="rId2" xr:uid="{58952D4F-1D36-0946-BDBD-C0B44040D9A3}"/>
    <hyperlink ref="Q20" r:id="rId3" xr:uid="{D6C9D453-BA64-7343-A2C6-66A8891CB156}"/>
    <hyperlink ref="Q15" r:id="rId4" xr:uid="{0134D9D2-50C2-9247-9B2E-7B47A0FD4152}"/>
    <hyperlink ref="Q16" r:id="rId5" xr:uid="{F2F0D2C5-E9FA-6547-AA0E-B3BF6CB85042}"/>
    <hyperlink ref="Q21" r:id="rId6" xr:uid="{4A1F5EE4-071C-7049-92B2-9678B291828D}"/>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9"/>
  <sheetViews>
    <sheetView topLeftCell="A40" zoomScale="140" zoomScaleNormal="140" workbookViewId="0">
      <selection activeCell="B58" sqref="B58:C58"/>
    </sheetView>
  </sheetViews>
  <sheetFormatPr baseColWidth="10" defaultColWidth="8.83203125" defaultRowHeight="15" x14ac:dyDescent="0.2"/>
  <cols>
    <col min="1" max="1" width="69" customWidth="1"/>
    <col min="3" max="3" width="63.1640625" customWidth="1"/>
  </cols>
  <sheetData>
    <row r="1" spans="1:4" x14ac:dyDescent="0.2">
      <c r="A1" s="1" t="s">
        <v>2</v>
      </c>
      <c r="B1" s="1" t="s">
        <v>4</v>
      </c>
      <c r="C1" s="1" t="s">
        <v>26</v>
      </c>
      <c r="D1" s="1"/>
    </row>
    <row r="2" spans="1:4" ht="16" x14ac:dyDescent="0.2">
      <c r="A2" s="3" t="s">
        <v>271</v>
      </c>
      <c r="B2" t="s">
        <v>27</v>
      </c>
      <c r="C2" s="3" t="s">
        <v>233</v>
      </c>
    </row>
    <row r="3" spans="1:4" ht="16" x14ac:dyDescent="0.2">
      <c r="A3" s="3" t="s">
        <v>179</v>
      </c>
      <c r="B3" t="s">
        <v>27</v>
      </c>
      <c r="C3" s="3" t="s">
        <v>233</v>
      </c>
    </row>
    <row r="4" spans="1:4" ht="16" x14ac:dyDescent="0.2">
      <c r="A4" s="3" t="s">
        <v>166</v>
      </c>
      <c r="B4" t="s">
        <v>27</v>
      </c>
      <c r="C4" s="3" t="s">
        <v>233</v>
      </c>
    </row>
    <row r="5" spans="1:4" ht="16" x14ac:dyDescent="0.2">
      <c r="A5" s="3" t="s">
        <v>273</v>
      </c>
      <c r="B5" t="s">
        <v>27</v>
      </c>
      <c r="C5" s="3" t="s">
        <v>234</v>
      </c>
    </row>
    <row r="6" spans="1:4" ht="16" x14ac:dyDescent="0.2">
      <c r="A6" s="3" t="s">
        <v>180</v>
      </c>
      <c r="B6" t="s">
        <v>27</v>
      </c>
      <c r="C6" s="3" t="s">
        <v>234</v>
      </c>
    </row>
    <row r="7" spans="1:4" ht="16" x14ac:dyDescent="0.2">
      <c r="A7" s="3" t="s">
        <v>167</v>
      </c>
      <c r="B7" t="s">
        <v>27</v>
      </c>
      <c r="C7" s="3" t="s">
        <v>234</v>
      </c>
    </row>
    <row r="8" spans="1:4" ht="16" x14ac:dyDescent="0.2">
      <c r="A8" s="3" t="s">
        <v>146</v>
      </c>
      <c r="B8" t="s">
        <v>27</v>
      </c>
      <c r="C8" s="3" t="s">
        <v>235</v>
      </c>
    </row>
    <row r="9" spans="1:4" ht="16" x14ac:dyDescent="0.2">
      <c r="A9" s="3" t="s">
        <v>181</v>
      </c>
      <c r="B9" t="s">
        <v>27</v>
      </c>
      <c r="C9" s="3" t="s">
        <v>235</v>
      </c>
    </row>
    <row r="10" spans="1:4" ht="16" x14ac:dyDescent="0.2">
      <c r="A10" s="3" t="s">
        <v>168</v>
      </c>
      <c r="B10" t="s">
        <v>27</v>
      </c>
      <c r="C10" s="3" t="s">
        <v>235</v>
      </c>
    </row>
    <row r="11" spans="1:4" ht="16" x14ac:dyDescent="0.2">
      <c r="A11" s="3" t="s">
        <v>226</v>
      </c>
      <c r="B11" t="s">
        <v>27</v>
      </c>
      <c r="C11" s="3" t="s">
        <v>236</v>
      </c>
    </row>
    <row r="12" spans="1:4" ht="16" x14ac:dyDescent="0.2">
      <c r="A12" s="3" t="s">
        <v>279</v>
      </c>
      <c r="B12" t="s">
        <v>27</v>
      </c>
      <c r="C12" s="3" t="s">
        <v>236</v>
      </c>
    </row>
    <row r="13" spans="1:4" ht="16" x14ac:dyDescent="0.2">
      <c r="A13" s="3" t="s">
        <v>169</v>
      </c>
      <c r="B13" t="s">
        <v>27</v>
      </c>
      <c r="C13" s="3" t="s">
        <v>236</v>
      </c>
    </row>
    <row r="14" spans="1:4" ht="16" x14ac:dyDescent="0.2">
      <c r="A14" s="3" t="s">
        <v>145</v>
      </c>
      <c r="B14" t="s">
        <v>27</v>
      </c>
      <c r="C14" s="3" t="s">
        <v>237</v>
      </c>
    </row>
    <row r="15" spans="1:4" ht="16" x14ac:dyDescent="0.2">
      <c r="A15" s="3" t="s">
        <v>182</v>
      </c>
      <c r="B15" t="s">
        <v>27</v>
      </c>
      <c r="C15" s="3" t="s">
        <v>237</v>
      </c>
    </row>
    <row r="16" spans="1:4" ht="16" x14ac:dyDescent="0.2">
      <c r="A16" s="3" t="s">
        <v>170</v>
      </c>
      <c r="B16" t="s">
        <v>27</v>
      </c>
      <c r="C16" s="3" t="s">
        <v>237</v>
      </c>
    </row>
    <row r="17" spans="1:3" ht="16" x14ac:dyDescent="0.2">
      <c r="A17" s="3" t="s">
        <v>222</v>
      </c>
      <c r="B17" t="s">
        <v>27</v>
      </c>
      <c r="C17" s="3" t="s">
        <v>238</v>
      </c>
    </row>
    <row r="18" spans="1:3" ht="16" x14ac:dyDescent="0.2">
      <c r="A18" s="3" t="s">
        <v>183</v>
      </c>
      <c r="B18" t="s">
        <v>27</v>
      </c>
      <c r="C18" s="3" t="s">
        <v>238</v>
      </c>
    </row>
    <row r="19" spans="1:3" ht="16" x14ac:dyDescent="0.2">
      <c r="A19" s="3" t="s">
        <v>254</v>
      </c>
      <c r="B19" t="s">
        <v>27</v>
      </c>
      <c r="C19" s="3" t="s">
        <v>238</v>
      </c>
    </row>
    <row r="20" spans="1:3" ht="16" x14ac:dyDescent="0.2">
      <c r="A20" s="3" t="s">
        <v>221</v>
      </c>
      <c r="B20" t="s">
        <v>27</v>
      </c>
      <c r="C20" s="3" t="s">
        <v>239</v>
      </c>
    </row>
    <row r="21" spans="1:3" ht="16" x14ac:dyDescent="0.2">
      <c r="A21" s="3" t="s">
        <v>184</v>
      </c>
      <c r="B21" t="s">
        <v>27</v>
      </c>
      <c r="C21" s="3" t="s">
        <v>239</v>
      </c>
    </row>
    <row r="22" spans="1:3" ht="16" x14ac:dyDescent="0.2">
      <c r="A22" s="3" t="s">
        <v>171</v>
      </c>
      <c r="B22" t="s">
        <v>27</v>
      </c>
      <c r="C22" s="3" t="s">
        <v>239</v>
      </c>
    </row>
    <row r="23" spans="1:3" ht="16" x14ac:dyDescent="0.2">
      <c r="A23" s="3" t="s">
        <v>223</v>
      </c>
      <c r="B23" t="s">
        <v>27</v>
      </c>
      <c r="C23" s="3" t="s">
        <v>240</v>
      </c>
    </row>
    <row r="24" spans="1:3" ht="16" x14ac:dyDescent="0.2">
      <c r="A24" s="3" t="s">
        <v>185</v>
      </c>
      <c r="B24" t="s">
        <v>27</v>
      </c>
      <c r="C24" s="3" t="s">
        <v>240</v>
      </c>
    </row>
    <row r="25" spans="1:3" ht="16" x14ac:dyDescent="0.2">
      <c r="A25" s="3" t="s">
        <v>172</v>
      </c>
      <c r="B25" t="s">
        <v>27</v>
      </c>
      <c r="C25" s="3" t="s">
        <v>240</v>
      </c>
    </row>
    <row r="26" spans="1:3" ht="16" x14ac:dyDescent="0.2">
      <c r="A26" s="3" t="s">
        <v>152</v>
      </c>
      <c r="B26" t="s">
        <v>27</v>
      </c>
      <c r="C26" s="3" t="s">
        <v>241</v>
      </c>
    </row>
    <row r="27" spans="1:3" ht="16" x14ac:dyDescent="0.2">
      <c r="A27" s="3" t="s">
        <v>186</v>
      </c>
      <c r="B27" t="s">
        <v>27</v>
      </c>
      <c r="C27" s="3" t="s">
        <v>241</v>
      </c>
    </row>
    <row r="28" spans="1:3" ht="16" x14ac:dyDescent="0.2">
      <c r="A28" s="3" t="s">
        <v>278</v>
      </c>
      <c r="B28" t="s">
        <v>27</v>
      </c>
      <c r="C28" s="3" t="s">
        <v>241</v>
      </c>
    </row>
    <row r="29" spans="1:3" ht="16" x14ac:dyDescent="0.2">
      <c r="A29" s="3" t="s">
        <v>162</v>
      </c>
      <c r="B29" t="s">
        <v>27</v>
      </c>
      <c r="C29" s="3" t="s">
        <v>242</v>
      </c>
    </row>
    <row r="30" spans="1:3" ht="16" x14ac:dyDescent="0.2">
      <c r="A30" s="3" t="s">
        <v>187</v>
      </c>
      <c r="B30" t="s">
        <v>27</v>
      </c>
      <c r="C30" s="3" t="s">
        <v>242</v>
      </c>
    </row>
    <row r="31" spans="1:3" ht="16" x14ac:dyDescent="0.2">
      <c r="A31" s="3" t="s">
        <v>173</v>
      </c>
      <c r="B31" t="s">
        <v>27</v>
      </c>
      <c r="C31" s="3" t="s">
        <v>242</v>
      </c>
    </row>
    <row r="32" spans="1:3" ht="16" x14ac:dyDescent="0.2">
      <c r="A32" s="3" t="s">
        <v>225</v>
      </c>
      <c r="B32" t="s">
        <v>27</v>
      </c>
      <c r="C32" s="3" t="s">
        <v>243</v>
      </c>
    </row>
    <row r="33" spans="1:3" ht="16" x14ac:dyDescent="0.2">
      <c r="A33" s="3" t="s">
        <v>274</v>
      </c>
      <c r="B33" t="s">
        <v>27</v>
      </c>
      <c r="C33" s="3" t="s">
        <v>243</v>
      </c>
    </row>
    <row r="34" spans="1:3" ht="16" x14ac:dyDescent="0.2">
      <c r="A34" s="3" t="s">
        <v>174</v>
      </c>
      <c r="B34" t="s">
        <v>27</v>
      </c>
      <c r="C34" s="3" t="s">
        <v>243</v>
      </c>
    </row>
    <row r="35" spans="1:3" ht="16" x14ac:dyDescent="0.2">
      <c r="A35" s="3" t="s">
        <v>224</v>
      </c>
      <c r="B35" t="s">
        <v>27</v>
      </c>
      <c r="C35" s="3" t="s">
        <v>244</v>
      </c>
    </row>
    <row r="36" spans="1:3" ht="16" x14ac:dyDescent="0.2">
      <c r="A36" s="3" t="s">
        <v>282</v>
      </c>
      <c r="B36" t="s">
        <v>27</v>
      </c>
      <c r="C36" s="3" t="s">
        <v>244</v>
      </c>
    </row>
    <row r="37" spans="1:3" ht="16" x14ac:dyDescent="0.2">
      <c r="A37" s="3" t="s">
        <v>175</v>
      </c>
      <c r="B37" t="s">
        <v>27</v>
      </c>
      <c r="C37" s="3" t="s">
        <v>244</v>
      </c>
    </row>
    <row r="38" spans="1:3" ht="16" x14ac:dyDescent="0.2">
      <c r="A38" s="3" t="s">
        <v>227</v>
      </c>
      <c r="B38" t="s">
        <v>27</v>
      </c>
      <c r="C38" s="3" t="s">
        <v>245</v>
      </c>
    </row>
    <row r="39" spans="1:3" ht="16" x14ac:dyDescent="0.2">
      <c r="A39" s="3" t="s">
        <v>188</v>
      </c>
      <c r="B39" t="s">
        <v>27</v>
      </c>
      <c r="C39" s="3" t="s">
        <v>245</v>
      </c>
    </row>
    <row r="40" spans="1:3" ht="16" x14ac:dyDescent="0.2">
      <c r="A40" s="3" t="s">
        <v>176</v>
      </c>
      <c r="B40" t="s">
        <v>27</v>
      </c>
      <c r="C40" s="3" t="s">
        <v>245</v>
      </c>
    </row>
    <row r="41" spans="1:3" ht="16" x14ac:dyDescent="0.2">
      <c r="A41" s="3" t="s">
        <v>220</v>
      </c>
      <c r="B41" t="s">
        <v>27</v>
      </c>
      <c r="C41" s="3" t="s">
        <v>246</v>
      </c>
    </row>
    <row r="42" spans="1:3" ht="16" x14ac:dyDescent="0.2">
      <c r="A42" s="3" t="s">
        <v>189</v>
      </c>
      <c r="B42" t="s">
        <v>27</v>
      </c>
      <c r="C42" s="3" t="s">
        <v>246</v>
      </c>
    </row>
    <row r="43" spans="1:3" ht="16" x14ac:dyDescent="0.2">
      <c r="A43" s="3" t="s">
        <v>177</v>
      </c>
      <c r="B43" t="s">
        <v>27</v>
      </c>
      <c r="C43" s="3" t="s">
        <v>246</v>
      </c>
    </row>
    <row r="44" spans="1:3" ht="16" x14ac:dyDescent="0.2">
      <c r="A44" s="3" t="s">
        <v>150</v>
      </c>
      <c r="B44" t="s">
        <v>27</v>
      </c>
      <c r="C44" s="3" t="s">
        <v>247</v>
      </c>
    </row>
    <row r="45" spans="1:3" ht="16" x14ac:dyDescent="0.2">
      <c r="A45" s="3" t="s">
        <v>190</v>
      </c>
      <c r="B45" t="s">
        <v>27</v>
      </c>
      <c r="C45" s="3" t="s">
        <v>247</v>
      </c>
    </row>
    <row r="46" spans="1:3" ht="16" x14ac:dyDescent="0.2">
      <c r="A46" s="3" t="s">
        <v>276</v>
      </c>
      <c r="B46" t="s">
        <v>27</v>
      </c>
      <c r="C46" s="3" t="s">
        <v>247</v>
      </c>
    </row>
    <row r="47" spans="1:3" ht="16" x14ac:dyDescent="0.2">
      <c r="A47" s="3" t="s">
        <v>163</v>
      </c>
      <c r="B47" t="s">
        <v>27</v>
      </c>
      <c r="C47" s="3" t="s">
        <v>248</v>
      </c>
    </row>
    <row r="48" spans="1:3" ht="16" x14ac:dyDescent="0.2">
      <c r="A48" s="3" t="s">
        <v>191</v>
      </c>
      <c r="B48" t="s">
        <v>27</v>
      </c>
      <c r="C48" s="3" t="s">
        <v>248</v>
      </c>
    </row>
    <row r="49" spans="1:3" ht="16" x14ac:dyDescent="0.2">
      <c r="A49" s="3" t="s">
        <v>198</v>
      </c>
      <c r="B49" t="s">
        <v>27</v>
      </c>
      <c r="C49" s="3" t="s">
        <v>248</v>
      </c>
    </row>
    <row r="50" spans="1:3" ht="16" x14ac:dyDescent="0.2">
      <c r="A50" s="3" t="s">
        <v>272</v>
      </c>
      <c r="B50" t="s">
        <v>27</v>
      </c>
      <c r="C50" s="3" t="s">
        <v>249</v>
      </c>
    </row>
    <row r="51" spans="1:3" ht="16" x14ac:dyDescent="0.2">
      <c r="A51" s="3" t="s">
        <v>192</v>
      </c>
      <c r="B51" t="s">
        <v>27</v>
      </c>
      <c r="C51" s="3" t="s">
        <v>249</v>
      </c>
    </row>
    <row r="52" spans="1:3" ht="16" x14ac:dyDescent="0.2">
      <c r="A52" s="3" t="s">
        <v>277</v>
      </c>
      <c r="B52" t="s">
        <v>27</v>
      </c>
      <c r="C52" s="3" t="s">
        <v>249</v>
      </c>
    </row>
    <row r="53" spans="1:3" ht="16" x14ac:dyDescent="0.2">
      <c r="A53" s="3" t="s">
        <v>165</v>
      </c>
      <c r="B53" t="s">
        <v>27</v>
      </c>
      <c r="C53" s="3" t="s">
        <v>250</v>
      </c>
    </row>
    <row r="54" spans="1:3" ht="16" x14ac:dyDescent="0.2">
      <c r="A54" s="3" t="s">
        <v>193</v>
      </c>
      <c r="B54" t="s">
        <v>27</v>
      </c>
      <c r="C54" s="3" t="s">
        <v>250</v>
      </c>
    </row>
    <row r="55" spans="1:3" ht="16" x14ac:dyDescent="0.2">
      <c r="A55" s="3" t="s">
        <v>197</v>
      </c>
      <c r="B55" t="s">
        <v>27</v>
      </c>
      <c r="C55" s="3" t="s">
        <v>250</v>
      </c>
    </row>
    <row r="56" spans="1:3" ht="16" x14ac:dyDescent="0.2">
      <c r="A56" s="3" t="s">
        <v>161</v>
      </c>
      <c r="B56" t="s">
        <v>27</v>
      </c>
      <c r="C56" s="3" t="s">
        <v>251</v>
      </c>
    </row>
    <row r="57" spans="1:3" ht="16" x14ac:dyDescent="0.2">
      <c r="A57" s="3" t="s">
        <v>194</v>
      </c>
      <c r="B57" t="s">
        <v>27</v>
      </c>
      <c r="C57" s="3" t="s">
        <v>251</v>
      </c>
    </row>
    <row r="58" spans="1:3" ht="16" x14ac:dyDescent="0.2">
      <c r="A58" s="3" t="s">
        <v>283</v>
      </c>
      <c r="B58" t="s">
        <v>27</v>
      </c>
      <c r="C58" s="3" t="s">
        <v>251</v>
      </c>
    </row>
    <row r="59" spans="1:3" ht="16" x14ac:dyDescent="0.2">
      <c r="A59" s="3" t="s">
        <v>149</v>
      </c>
      <c r="B59" t="s">
        <v>27</v>
      </c>
      <c r="C59" s="3" t="s">
        <v>252</v>
      </c>
    </row>
    <row r="60" spans="1:3" ht="16" x14ac:dyDescent="0.2">
      <c r="A60" s="3" t="s">
        <v>195</v>
      </c>
      <c r="B60" t="s">
        <v>27</v>
      </c>
      <c r="C60" s="3" t="s">
        <v>252</v>
      </c>
    </row>
    <row r="61" spans="1:3" ht="16" x14ac:dyDescent="0.2">
      <c r="A61" s="3" t="s">
        <v>178</v>
      </c>
      <c r="B61" t="s">
        <v>27</v>
      </c>
      <c r="C61" s="3" t="s">
        <v>252</v>
      </c>
    </row>
    <row r="62" spans="1:3" ht="16" x14ac:dyDescent="0.2">
      <c r="A62" s="3" t="s">
        <v>157</v>
      </c>
      <c r="B62" t="s">
        <v>27</v>
      </c>
      <c r="C62" s="3" t="s">
        <v>253</v>
      </c>
    </row>
    <row r="63" spans="1:3" ht="16" x14ac:dyDescent="0.2">
      <c r="A63" s="3" t="s">
        <v>196</v>
      </c>
      <c r="B63" t="s">
        <v>27</v>
      </c>
      <c r="C63" s="3" t="s">
        <v>253</v>
      </c>
    </row>
    <row r="64" spans="1:3" x14ac:dyDescent="0.2">
      <c r="A64" t="s">
        <v>267</v>
      </c>
      <c r="B64" t="s">
        <v>27</v>
      </c>
      <c r="C64" t="s">
        <v>59</v>
      </c>
    </row>
    <row r="65" spans="1:3" x14ac:dyDescent="0.2">
      <c r="A65" t="s">
        <v>268</v>
      </c>
      <c r="B65" t="s">
        <v>27</v>
      </c>
      <c r="C65" t="s">
        <v>64</v>
      </c>
    </row>
    <row r="66" spans="1:3" x14ac:dyDescent="0.2">
      <c r="A66" s="3"/>
      <c r="C66" s="3"/>
    </row>
    <row r="67" spans="1:3" x14ac:dyDescent="0.2">
      <c r="A67" s="3"/>
      <c r="C67" s="3"/>
    </row>
    <row r="68" spans="1:3" x14ac:dyDescent="0.2">
      <c r="A68" s="3"/>
      <c r="C68" s="3"/>
    </row>
    <row r="69" spans="1:3" x14ac:dyDescent="0.2">
      <c r="A69" s="3"/>
      <c r="C69" s="3"/>
    </row>
    <row r="70" spans="1:3" x14ac:dyDescent="0.2">
      <c r="A70" s="3"/>
      <c r="C70" s="3"/>
    </row>
    <row r="71" spans="1:3" x14ac:dyDescent="0.2">
      <c r="A71" s="3"/>
      <c r="C71" s="3"/>
    </row>
    <row r="72" spans="1:3" x14ac:dyDescent="0.2">
      <c r="A72" s="3"/>
      <c r="C72" s="3"/>
    </row>
    <row r="73" spans="1:3" x14ac:dyDescent="0.2">
      <c r="A73" s="3"/>
      <c r="C73" s="3"/>
    </row>
    <row r="74" spans="1:3" x14ac:dyDescent="0.2">
      <c r="A74" s="3"/>
      <c r="C74" s="3"/>
    </row>
    <row r="75" spans="1:3" x14ac:dyDescent="0.2">
      <c r="A75" s="3"/>
      <c r="C75" s="3"/>
    </row>
    <row r="76" spans="1:3" x14ac:dyDescent="0.2">
      <c r="A76" s="3"/>
      <c r="C76" s="3"/>
    </row>
    <row r="77" spans="1:3" x14ac:dyDescent="0.2">
      <c r="A77" s="3"/>
      <c r="C77" s="3"/>
    </row>
    <row r="78" spans="1:3" x14ac:dyDescent="0.2">
      <c r="A78" s="3"/>
      <c r="C78" s="3"/>
    </row>
    <row r="79" spans="1:3" x14ac:dyDescent="0.2">
      <c r="A79" s="3"/>
      <c r="C79" s="3"/>
    </row>
    <row r="80" spans="1:3" x14ac:dyDescent="0.2">
      <c r="A80" s="3"/>
      <c r="C80" s="3"/>
    </row>
    <row r="81" spans="1:3" x14ac:dyDescent="0.2">
      <c r="A81" s="3"/>
      <c r="C81" s="3"/>
    </row>
    <row r="82" spans="1:3" x14ac:dyDescent="0.2">
      <c r="A82" s="3"/>
      <c r="C82" s="3"/>
    </row>
    <row r="83" spans="1:3" x14ac:dyDescent="0.2">
      <c r="A83" s="3"/>
      <c r="C83" s="3"/>
    </row>
    <row r="84" spans="1:3" x14ac:dyDescent="0.2">
      <c r="A84" s="3"/>
      <c r="C84" s="3"/>
    </row>
    <row r="85" spans="1:3" x14ac:dyDescent="0.2">
      <c r="A85" s="3"/>
      <c r="C85" s="3"/>
    </row>
    <row r="86" spans="1:3" x14ac:dyDescent="0.2">
      <c r="A86" s="3"/>
      <c r="C86" s="3"/>
    </row>
    <row r="87" spans="1:3" x14ac:dyDescent="0.2">
      <c r="A87" s="3"/>
      <c r="C87" s="3"/>
    </row>
    <row r="88" spans="1:3" x14ac:dyDescent="0.2">
      <c r="A88" s="3"/>
      <c r="C88" s="3"/>
    </row>
    <row r="89" spans="1:3" x14ac:dyDescent="0.2">
      <c r="A89" s="3"/>
      <c r="C89" s="3"/>
    </row>
    <row r="90" spans="1:3" x14ac:dyDescent="0.2">
      <c r="A90" s="3"/>
      <c r="C90" s="3"/>
    </row>
    <row r="91" spans="1:3" x14ac:dyDescent="0.2">
      <c r="A91" s="3"/>
      <c r="C91" s="3"/>
    </row>
    <row r="92" spans="1:3" x14ac:dyDescent="0.2">
      <c r="A92" s="3"/>
      <c r="C92" s="3"/>
    </row>
    <row r="93" spans="1:3" x14ac:dyDescent="0.2">
      <c r="A93" s="3"/>
      <c r="C93" s="3"/>
    </row>
    <row r="94" spans="1:3" x14ac:dyDescent="0.2">
      <c r="A94" s="3"/>
      <c r="C94" s="3"/>
    </row>
    <row r="95" spans="1:3" x14ac:dyDescent="0.2">
      <c r="A95" s="3"/>
      <c r="C95" s="3"/>
    </row>
    <row r="96" spans="1:3" x14ac:dyDescent="0.2">
      <c r="A96" s="3"/>
      <c r="C96" s="3"/>
    </row>
    <row r="97" spans="1:3" x14ac:dyDescent="0.2">
      <c r="A97" s="3"/>
      <c r="C97" s="3"/>
    </row>
    <row r="98" spans="1:3" x14ac:dyDescent="0.2">
      <c r="A98" s="3"/>
      <c r="C98" s="3"/>
    </row>
    <row r="99" spans="1:3" x14ac:dyDescent="0.2">
      <c r="A99" s="3"/>
      <c r="C99" s="3"/>
    </row>
    <row r="100" spans="1:3" x14ac:dyDescent="0.2">
      <c r="A100" s="3"/>
      <c r="C100" s="3"/>
    </row>
    <row r="101" spans="1:3" x14ac:dyDescent="0.2">
      <c r="A101" s="3"/>
      <c r="C101" s="3"/>
    </row>
    <row r="102" spans="1:3" x14ac:dyDescent="0.2">
      <c r="A102" s="3"/>
      <c r="C102" s="3"/>
    </row>
    <row r="103" spans="1:3" x14ac:dyDescent="0.2">
      <c r="A103" s="3"/>
      <c r="C103" s="3"/>
    </row>
    <row r="104" spans="1:3" x14ac:dyDescent="0.2">
      <c r="A104" s="3"/>
      <c r="C104" s="3"/>
    </row>
    <row r="105" spans="1:3" x14ac:dyDescent="0.2">
      <c r="A105" s="3"/>
      <c r="C105" s="3"/>
    </row>
    <row r="106" spans="1:3" x14ac:dyDescent="0.2">
      <c r="A106" s="3"/>
      <c r="C106" s="3"/>
    </row>
    <row r="107" spans="1:3" x14ac:dyDescent="0.2">
      <c r="A107" s="3"/>
      <c r="C107" s="3"/>
    </row>
    <row r="108" spans="1:3" x14ac:dyDescent="0.2">
      <c r="A108" s="3"/>
      <c r="C108" s="3"/>
    </row>
    <row r="109" spans="1:3" x14ac:dyDescent="0.2">
      <c r="A109" s="3"/>
      <c r="C109" s="3"/>
    </row>
    <row r="110" spans="1:3" x14ac:dyDescent="0.2">
      <c r="A110" s="3"/>
      <c r="C110" s="3"/>
    </row>
    <row r="111" spans="1:3" x14ac:dyDescent="0.2">
      <c r="A111" s="3"/>
      <c r="C111" s="3"/>
    </row>
    <row r="112" spans="1:3" x14ac:dyDescent="0.2">
      <c r="A112" s="3"/>
      <c r="C112" s="3"/>
    </row>
    <row r="113" spans="1:3" x14ac:dyDescent="0.2">
      <c r="A113" s="3"/>
      <c r="C113" s="3"/>
    </row>
    <row r="114" spans="1:3" x14ac:dyDescent="0.2">
      <c r="A114" s="3"/>
      <c r="C114" s="3"/>
    </row>
    <row r="115" spans="1:3" x14ac:dyDescent="0.2">
      <c r="A115" s="3"/>
      <c r="C115" s="3"/>
    </row>
    <row r="116" spans="1:3" x14ac:dyDescent="0.2">
      <c r="A116" s="3"/>
      <c r="C116" s="3"/>
    </row>
    <row r="117" spans="1:3" x14ac:dyDescent="0.2">
      <c r="A117" s="3"/>
      <c r="C117" s="3"/>
    </row>
    <row r="118" spans="1:3" x14ac:dyDescent="0.2">
      <c r="A118" s="3"/>
      <c r="C118" s="3"/>
    </row>
    <row r="119" spans="1:3" x14ac:dyDescent="0.2">
      <c r="A119" s="3"/>
      <c r="C119" s="3"/>
    </row>
    <row r="120" spans="1:3" x14ac:dyDescent="0.2">
      <c r="A120" s="3"/>
      <c r="C120" s="3"/>
    </row>
    <row r="121" spans="1:3" x14ac:dyDescent="0.2">
      <c r="A121" s="3"/>
      <c r="C121" s="3"/>
    </row>
    <row r="122" spans="1:3" x14ac:dyDescent="0.2">
      <c r="A122" s="3"/>
      <c r="C122" s="3"/>
    </row>
    <row r="123" spans="1:3" x14ac:dyDescent="0.2">
      <c r="A123" s="3"/>
      <c r="C123" s="3"/>
    </row>
    <row r="124" spans="1:3" x14ac:dyDescent="0.2">
      <c r="A124" s="3"/>
      <c r="C124" s="3"/>
    </row>
    <row r="125" spans="1:3" x14ac:dyDescent="0.2">
      <c r="A125" s="3"/>
      <c r="C125" s="3"/>
    </row>
    <row r="126" spans="1:3" x14ac:dyDescent="0.2">
      <c r="A126" s="3"/>
      <c r="C126" s="3"/>
    </row>
    <row r="127" spans="1:3" x14ac:dyDescent="0.2">
      <c r="A127" s="3"/>
      <c r="C127" s="3"/>
    </row>
    <row r="128" spans="1:3" x14ac:dyDescent="0.2">
      <c r="A128" s="3"/>
      <c r="C128" s="3"/>
    </row>
    <row r="129" spans="1:3" x14ac:dyDescent="0.2">
      <c r="A129" s="3"/>
      <c r="C129" s="3"/>
    </row>
    <row r="130" spans="1:3" x14ac:dyDescent="0.2">
      <c r="A130" s="3"/>
      <c r="C130" s="3"/>
    </row>
    <row r="131" spans="1:3" x14ac:dyDescent="0.2">
      <c r="A131" s="3"/>
      <c r="C131" s="3"/>
    </row>
    <row r="132" spans="1:3" x14ac:dyDescent="0.2">
      <c r="A132" s="3"/>
      <c r="C132" s="3"/>
    </row>
    <row r="133" spans="1:3" x14ac:dyDescent="0.2">
      <c r="A133" s="3"/>
      <c r="C133" s="3"/>
    </row>
    <row r="134" spans="1:3" x14ac:dyDescent="0.2">
      <c r="A134" s="3"/>
      <c r="C134" s="3"/>
    </row>
    <row r="135" spans="1:3" x14ac:dyDescent="0.2">
      <c r="A135" s="3"/>
      <c r="C135" s="3"/>
    </row>
    <row r="136" spans="1:3" x14ac:dyDescent="0.2">
      <c r="A136" s="3"/>
      <c r="C136" s="3"/>
    </row>
    <row r="137" spans="1:3" x14ac:dyDescent="0.2">
      <c r="A137" s="3"/>
      <c r="C137" s="3"/>
    </row>
    <row r="138" spans="1:3" x14ac:dyDescent="0.2">
      <c r="A138" s="3"/>
      <c r="C138" s="3"/>
    </row>
    <row r="139" spans="1:3" x14ac:dyDescent="0.2">
      <c r="A139" s="3"/>
      <c r="C139" s="3"/>
    </row>
    <row r="140" spans="1:3" x14ac:dyDescent="0.2">
      <c r="A140" s="3"/>
      <c r="C140" s="3"/>
    </row>
    <row r="141" spans="1:3" x14ac:dyDescent="0.2">
      <c r="A141" s="3"/>
      <c r="C141" s="3"/>
    </row>
    <row r="142" spans="1:3" x14ac:dyDescent="0.2">
      <c r="A142" s="3"/>
      <c r="C142" s="3"/>
    </row>
    <row r="143" spans="1:3" x14ac:dyDescent="0.2">
      <c r="A143" s="3"/>
      <c r="C143" s="3"/>
    </row>
    <row r="144" spans="1:3" x14ac:dyDescent="0.2">
      <c r="A144" s="3"/>
      <c r="C144" s="3"/>
    </row>
    <row r="145" spans="1:3" x14ac:dyDescent="0.2">
      <c r="A145" s="3"/>
      <c r="C145" s="3"/>
    </row>
    <row r="146" spans="1:3" x14ac:dyDescent="0.2">
      <c r="A146" s="3"/>
      <c r="C146" s="3"/>
    </row>
    <row r="147" spans="1:3" x14ac:dyDescent="0.2">
      <c r="A147" s="3"/>
      <c r="C147" s="3"/>
    </row>
    <row r="148" spans="1:3" x14ac:dyDescent="0.2">
      <c r="A148" s="3"/>
      <c r="C148" s="3"/>
    </row>
    <row r="149" spans="1:3" x14ac:dyDescent="0.2">
      <c r="A149" s="3"/>
      <c r="C149"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zoomScale="140" zoomScaleNormal="140" workbookViewId="0">
      <selection activeCell="E3" sqref="E3"/>
    </sheetView>
  </sheetViews>
  <sheetFormatPr baseColWidth="10" defaultColWidth="8.83203125" defaultRowHeight="15" x14ac:dyDescent="0.2"/>
  <cols>
    <col min="1" max="1" width="21.33203125" customWidth="1"/>
    <col min="2" max="2" width="23.83203125" customWidth="1"/>
    <col min="3" max="3" width="21" customWidth="1"/>
  </cols>
  <sheetData>
    <row r="1" spans="1:5" ht="32" x14ac:dyDescent="0.2">
      <c r="A1" s="1" t="s">
        <v>2</v>
      </c>
      <c r="B1" s="1" t="s">
        <v>0</v>
      </c>
      <c r="C1" s="1" t="s">
        <v>6</v>
      </c>
      <c r="D1" s="9" t="s">
        <v>4</v>
      </c>
      <c r="E1" s="10" t="s">
        <v>20</v>
      </c>
    </row>
    <row r="2" spans="1:5" x14ac:dyDescent="0.2">
      <c r="A2" t="s">
        <v>59</v>
      </c>
      <c r="B2" t="s">
        <v>60</v>
      </c>
      <c r="C2" t="s">
        <v>63</v>
      </c>
      <c r="D2" s="11" t="s">
        <v>266</v>
      </c>
      <c r="E2" s="11" t="s">
        <v>267</v>
      </c>
    </row>
    <row r="3" spans="1:5" x14ac:dyDescent="0.2">
      <c r="A3" t="s">
        <v>64</v>
      </c>
      <c r="B3" t="s">
        <v>65</v>
      </c>
      <c r="C3" t="s">
        <v>66</v>
      </c>
      <c r="D3" s="11" t="s">
        <v>266</v>
      </c>
      <c r="E3" s="11" t="s">
        <v>268</v>
      </c>
    </row>
    <row r="5" spans="1:5" x14ac:dyDescent="0.2">
      <c r="C5"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130" zoomScaleNormal="130" workbookViewId="0">
      <selection activeCell="A10" sqref="A10:D12"/>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28</v>
      </c>
      <c r="B2" t="s">
        <v>29</v>
      </c>
      <c r="C2" t="s">
        <v>30</v>
      </c>
      <c r="D2" t="s">
        <v>31</v>
      </c>
    </row>
    <row r="3" spans="1:4" x14ac:dyDescent="0.2">
      <c r="A3" t="s">
        <v>32</v>
      </c>
      <c r="B3" t="s">
        <v>29</v>
      </c>
      <c r="C3" t="s">
        <v>33</v>
      </c>
      <c r="D3" t="s">
        <v>34</v>
      </c>
    </row>
    <row r="4" spans="1:4" x14ac:dyDescent="0.2">
      <c r="A4" t="s">
        <v>35</v>
      </c>
      <c r="B4" t="s">
        <v>29</v>
      </c>
      <c r="C4" t="s">
        <v>36</v>
      </c>
      <c r="D4" t="s">
        <v>37</v>
      </c>
    </row>
    <row r="5" spans="1:4" x14ac:dyDescent="0.2">
      <c r="A5" t="s">
        <v>38</v>
      </c>
      <c r="B5" t="s">
        <v>29</v>
      </c>
      <c r="C5" t="s">
        <v>39</v>
      </c>
      <c r="D5" t="s">
        <v>40</v>
      </c>
    </row>
    <row r="6" spans="1:4" x14ac:dyDescent="0.2">
      <c r="A6" t="s">
        <v>35</v>
      </c>
      <c r="B6" t="s">
        <v>29</v>
      </c>
      <c r="C6" t="s">
        <v>41</v>
      </c>
      <c r="D6" t="s">
        <v>42</v>
      </c>
    </row>
    <row r="7" spans="1:4" x14ac:dyDescent="0.2">
      <c r="A7" t="s">
        <v>43</v>
      </c>
      <c r="B7" t="s">
        <v>29</v>
      </c>
      <c r="C7" t="s">
        <v>44</v>
      </c>
      <c r="D7" t="s">
        <v>45</v>
      </c>
    </row>
    <row r="8" spans="1:4" x14ac:dyDescent="0.2">
      <c r="A8" t="s">
        <v>46</v>
      </c>
      <c r="B8" t="s">
        <v>29</v>
      </c>
      <c r="C8" t="s">
        <v>47</v>
      </c>
      <c r="D8" t="s">
        <v>48</v>
      </c>
    </row>
    <row r="9" spans="1:4" x14ac:dyDescent="0.2">
      <c r="A9" t="s">
        <v>49</v>
      </c>
      <c r="B9" t="s">
        <v>29</v>
      </c>
      <c r="C9" t="s">
        <v>50</v>
      </c>
      <c r="D9" t="s">
        <v>51</v>
      </c>
    </row>
    <row r="10" spans="1:4" x14ac:dyDescent="0.2">
      <c r="A10" t="s">
        <v>255</v>
      </c>
      <c r="B10" t="s">
        <v>29</v>
      </c>
      <c r="C10" t="s">
        <v>58</v>
      </c>
      <c r="D10" t="s">
        <v>256</v>
      </c>
    </row>
    <row r="11" spans="1:4" x14ac:dyDescent="0.2">
      <c r="A11" t="s">
        <v>257</v>
      </c>
      <c r="B11" t="s">
        <v>29</v>
      </c>
      <c r="C11" t="s">
        <v>258</v>
      </c>
      <c r="D11" t="s">
        <v>259</v>
      </c>
    </row>
    <row r="12" spans="1:4" x14ac:dyDescent="0.2">
      <c r="A12" t="s">
        <v>260</v>
      </c>
      <c r="B12" t="s">
        <v>29</v>
      </c>
      <c r="C12" t="s">
        <v>261</v>
      </c>
      <c r="D12" t="s">
        <v>262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F29" sqref="F29"/>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52</v>
      </c>
      <c r="D1" s="1" t="s">
        <v>53</v>
      </c>
    </row>
    <row r="2" spans="1:4" x14ac:dyDescent="0.2">
      <c r="A2" t="s">
        <v>54</v>
      </c>
      <c r="B2" t="s">
        <v>55</v>
      </c>
      <c r="C2" t="s">
        <v>56</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People</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Felicity Meakins</cp:lastModifiedBy>
  <dcterms:created xsi:type="dcterms:W3CDTF">2025-10-09T02:02:11Z</dcterms:created>
  <dcterms:modified xsi:type="dcterms:W3CDTF">2026-03-25T00:10:34Z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